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-Q5 Module and Roof" sheetId="1" state="visible" r:id="rId1"/>
    <sheet xmlns:r="http://schemas.openxmlformats.org/officeDocument/2006/relationships" name="Q4-Q7 Inverter and CC" sheetId="2" state="visible" r:id="rId2"/>
    <sheet xmlns:r="http://schemas.openxmlformats.org/officeDocument/2006/relationships" name="Q8 Battery Bank Design" sheetId="3" state="visible" r:id="rId3"/>
    <sheet xmlns:r="http://schemas.openxmlformats.org/officeDocument/2006/relationships" name="Q6 Inverter Efficiency" sheetId="4" state="visible" r:id="rId4"/>
    <sheet xmlns:r="http://schemas.openxmlformats.org/officeDocument/2006/relationships" name="Q9 Currents" sheetId="5" state="visible" r:id="rId5"/>
    <sheet xmlns:r="http://schemas.openxmlformats.org/officeDocument/2006/relationships" name="Q10 3-Year Simulation" sheetId="6" state="visible" r:id="rId6"/>
    <sheet xmlns:r="http://schemas.openxmlformats.org/officeDocument/2006/relationships" name="Q11 LCA" sheetId="7" state="visible" r:id="rId7"/>
    <sheet xmlns:r="http://schemas.openxmlformats.org/officeDocument/2006/relationships" name="Q1-Q3 Yield and Savings" sheetId="8" state="visible" r:id="rId8"/>
    <sheet xmlns:r="http://schemas.openxmlformats.org/officeDocument/2006/relationships" name="Hourly Load Prof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sz val="8"/>
    </font>
    <font>
      <name val="Arial"/>
      <b val="1"/>
      <color rgb="000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34" customWidth="1" min="4" max="4"/>
  </cols>
  <sheetData>
    <row r="1" ht="24" customHeight="1">
      <c r="A1" s="1" t="inlineStr">
        <is>
          <t>Q4/Q5 – PV Module Selection &amp; Roof Layout | Tampa 5m×18m | 35° Tilt</t>
        </is>
      </c>
    </row>
    <row r="3" ht="18" customHeight="1">
      <c r="A3" s="2" t="inlineStr">
        <is>
          <t>A. Module Selection – AIKO Neostar 490W chosen over LonGi Hi-MO X6 600W</t>
        </is>
      </c>
    </row>
    <row r="4">
      <c r="A4" s="3" t="inlineStr">
        <is>
          <t>Parameter</t>
        </is>
      </c>
      <c r="B4" s="3" t="inlineStr">
        <is>
          <t>AIKO 490W (SELECTED)</t>
        </is>
      </c>
      <c r="C4" s="3" t="inlineStr">
        <is>
          <t>LonGi 600W</t>
        </is>
      </c>
      <c r="D4" s="3" t="inlineStr">
        <is>
          <t>Decision reason</t>
        </is>
      </c>
    </row>
    <row r="5">
      <c r="A5" s="4" t="inlineStr">
        <is>
          <t>Pmax (STC)</t>
        </is>
      </c>
      <c r="B5" s="5" t="inlineStr">
        <is>
          <t>490 W</t>
        </is>
      </c>
      <c r="C5" s="5" t="inlineStr">
        <is>
          <t>600 W</t>
        </is>
      </c>
      <c r="D5" s="4" t="inlineStr"/>
    </row>
    <row r="6">
      <c r="A6" s="6" t="inlineStr">
        <is>
          <t>Module efficiency</t>
        </is>
      </c>
      <c r="B6" s="7" t="inlineStr">
        <is>
          <t>24.5%</t>
        </is>
      </c>
      <c r="C6" s="7" t="inlineStr">
        <is>
          <t>23.2%</t>
        </is>
      </c>
      <c r="D6" s="6" t="inlineStr">
        <is>
          <t>AIKO higher efficiency</t>
        </is>
      </c>
    </row>
    <row r="7">
      <c r="A7" s="4" t="inlineStr">
        <is>
          <t>Dimensions (L×W)</t>
        </is>
      </c>
      <c r="B7" s="5" t="inlineStr">
        <is>
          <t>1762×1134 mm</t>
        </is>
      </c>
      <c r="C7" s="5" t="inlineStr">
        <is>
          <t>2278×1134 mm</t>
        </is>
      </c>
      <c r="D7" s="4" t="inlineStr">
        <is>
          <t>LonGi too long for roof – see below</t>
        </is>
      </c>
    </row>
    <row r="8">
      <c r="A8" s="6" t="inlineStr">
        <is>
          <t>Temp coeff Pmax</t>
        </is>
      </c>
      <c r="B8" s="7" t="inlineStr">
        <is>
          <t>-0.26%/°C</t>
        </is>
      </c>
      <c r="C8" s="7" t="inlineStr">
        <is>
          <t>-0.29%/°C</t>
        </is>
      </c>
      <c r="D8" s="6" t="inlineStr">
        <is>
          <t>AIKO better in Florida heat</t>
        </is>
      </c>
    </row>
    <row r="9">
      <c r="A9" s="4" t="inlineStr">
        <is>
          <t>Annual degradation</t>
        </is>
      </c>
      <c r="B9" s="5" t="inlineStr">
        <is>
          <t>≤0.35%/yr</t>
        </is>
      </c>
      <c r="C9" s="5" t="inlineStr">
        <is>
          <t>0.40%/yr</t>
        </is>
      </c>
      <c r="D9" s="4" t="inlineStr">
        <is>
          <t>AIKO degrades slower</t>
        </is>
      </c>
    </row>
    <row r="10">
      <c r="A10" s="6" t="inlineStr">
        <is>
          <t>Voc (STC)</t>
        </is>
      </c>
      <c r="B10" s="7" t="inlineStr">
        <is>
          <t>41.10 V</t>
        </is>
      </c>
      <c r="C10" s="7" t="inlineStr">
        <is>
          <t>52.81 V</t>
        </is>
      </c>
      <c r="D10" s="6" t="inlineStr"/>
    </row>
    <row r="11">
      <c r="A11" s="4" t="inlineStr">
        <is>
          <t>Vmp (STC)</t>
        </is>
      </c>
      <c r="B11" s="5" t="inlineStr">
        <is>
          <t>34.70 V</t>
        </is>
      </c>
      <c r="C11" s="5" t="inlineStr">
        <is>
          <t>44.66 V</t>
        </is>
      </c>
      <c r="D11" s="4" t="inlineStr"/>
    </row>
    <row r="12">
      <c r="A12" s="6" t="inlineStr">
        <is>
          <t>Isc (STC)</t>
        </is>
      </c>
      <c r="B12" s="7" t="inlineStr">
        <is>
          <t>14.88 A</t>
        </is>
      </c>
      <c r="C12" s="7" t="inlineStr">
        <is>
          <t>14.46 A</t>
        </is>
      </c>
      <c r="D12" s="6" t="inlineStr"/>
    </row>
    <row r="13">
      <c r="A13" s="4" t="inlineStr">
        <is>
          <t>Imp (STC)</t>
        </is>
      </c>
      <c r="B13" s="5" t="inlineStr">
        <is>
          <t>14.13 A</t>
        </is>
      </c>
      <c r="C13" s="5" t="inlineStr">
        <is>
          <t>13.44 A</t>
        </is>
      </c>
      <c r="D13" s="4" t="inlineStr"/>
    </row>
    <row r="14">
      <c r="A14" s="6" t="inlineStr">
        <is>
          <t>Max sys voltage</t>
        </is>
      </c>
      <c r="B14" s="7" t="inlineStr">
        <is>
          <t>DC 1500V</t>
        </is>
      </c>
      <c r="C14" s="7" t="inlineStr">
        <is>
          <t>DC 1500V</t>
        </is>
      </c>
      <c r="D14" s="6" t="inlineStr"/>
    </row>
    <row r="15">
      <c r="A15" s="4" t="inlineStr">
        <is>
          <t>Fire rating</t>
        </is>
      </c>
      <c r="B15" s="5" t="inlineStr">
        <is>
          <t>IEC Class A</t>
        </is>
      </c>
      <c r="C15" s="5" t="inlineStr">
        <is>
          <t>UL Type 1/2</t>
        </is>
      </c>
      <c r="D15" s="4" t="inlineStr"/>
    </row>
    <row r="16">
      <c r="A16" s="6" t="inlineStr">
        <is>
          <t>Product warranty</t>
        </is>
      </c>
      <c r="B16" s="7" t="inlineStr">
        <is>
          <t>25 yr</t>
        </is>
      </c>
      <c r="C16" s="7" t="inlineStr">
        <is>
          <t>15 yr</t>
        </is>
      </c>
      <c r="D16" s="6" t="inlineStr">
        <is>
          <t>AIKO longer warranty</t>
        </is>
      </c>
    </row>
    <row r="17">
      <c r="A17" s="8" t="inlineStr">
        <is>
          <t>FITS ROOF (portrait)?</t>
        </is>
      </c>
      <c r="B17" s="9" t="inlineStr">
        <is>
          <t>✓ YES – 1.762m &lt; 2.052m</t>
        </is>
      </c>
      <c r="C17" s="10" t="inlineStr">
        <is>
          <t>✗ NO – 2.278m &gt; 2.052m</t>
        </is>
      </c>
      <c r="D17" s="11" t="inlineStr">
        <is>
          <t>LonGi eliminated here</t>
        </is>
      </c>
    </row>
    <row r="19" ht="18" customHeight="1">
      <c r="A19" s="2" t="inlineStr">
        <is>
          <t>B. Roof Geometry &amp; Available Area</t>
        </is>
      </c>
    </row>
    <row r="20">
      <c r="A20" s="3" t="inlineStr">
        <is>
          <t>Parameter</t>
        </is>
      </c>
      <c r="B20" s="3" t="inlineStr">
        <is>
          <t>Calculation</t>
        </is>
      </c>
      <c r="C20" s="3" t="inlineStr">
        <is>
          <t>Result</t>
        </is>
      </c>
      <c r="D20" s="3" t="inlineStr"/>
    </row>
    <row r="21">
      <c r="A21" s="4" t="inlineStr">
        <is>
          <t>Total roof width</t>
        </is>
      </c>
      <c r="B21" s="5" t="inlineStr">
        <is>
          <t>Given</t>
        </is>
      </c>
      <c r="C21" s="12" t="inlineStr">
        <is>
          <t>5.0 m</t>
        </is>
      </c>
      <c r="D21" s="5" t="inlineStr"/>
    </row>
    <row r="22">
      <c r="A22" s="6" t="inlineStr">
        <is>
          <t>Total roof length</t>
        </is>
      </c>
      <c r="B22" s="7" t="inlineStr">
        <is>
          <t>Given</t>
        </is>
      </c>
      <c r="C22" s="13" t="inlineStr">
        <is>
          <t>18.0 m</t>
        </is>
      </c>
      <c r="D22" s="7" t="inlineStr"/>
    </row>
    <row r="23">
      <c r="A23" s="4" t="inlineStr">
        <is>
          <t>Tilt angle</t>
        </is>
      </c>
      <c r="B23" s="5" t="inlineStr">
        <is>
          <t>Given</t>
        </is>
      </c>
      <c r="C23" s="12" t="inlineStr">
        <is>
          <t>35°</t>
        </is>
      </c>
      <c r="D23" s="5" t="inlineStr"/>
    </row>
    <row r="24">
      <c r="A24" s="6" t="inlineStr">
        <is>
          <t>Horizontal half-width per slope</t>
        </is>
      </c>
      <c r="B24" s="7" t="inlineStr">
        <is>
          <t>5.0 ÷ 2</t>
        </is>
      </c>
      <c r="C24" s="13" t="inlineStr">
        <is>
          <t>2.5 m</t>
        </is>
      </c>
      <c r="D24" s="7" t="inlineStr"/>
    </row>
    <row r="25">
      <c r="A25" s="4" t="inlineStr">
        <is>
          <t>Slope surface width</t>
        </is>
      </c>
      <c r="B25" s="5" t="inlineStr">
        <is>
          <t>2.5 ÷ cos(35°)</t>
        </is>
      </c>
      <c r="C25" s="12" t="inlineStr">
        <is>
          <t>3.052 m</t>
        </is>
      </c>
      <c r="D25" s="5" t="inlineStr"/>
    </row>
    <row r="26">
      <c r="A26" s="6" t="inlineStr">
        <is>
          <t>Safety margin each side</t>
        </is>
      </c>
      <c r="B26" s="7" t="inlineStr">
        <is>
          <t>Assignment requirement</t>
        </is>
      </c>
      <c r="C26" s="13" t="inlineStr">
        <is>
          <t>0.5 m</t>
        </is>
      </c>
      <c r="D26" s="7" t="inlineStr"/>
    </row>
    <row r="27">
      <c r="A27" s="4" t="inlineStr">
        <is>
          <t>Available along slope</t>
        </is>
      </c>
      <c r="B27" s="5" t="inlineStr">
        <is>
          <t>3.052 − 2×0.5</t>
        </is>
      </c>
      <c r="C27" s="12" t="inlineStr">
        <is>
          <t>2.052 m</t>
        </is>
      </c>
      <c r="D27" s="5" t="inlineStr"/>
    </row>
    <row r="28">
      <c r="A28" s="6" t="inlineStr">
        <is>
          <t>Available along ridge</t>
        </is>
      </c>
      <c r="B28" s="7" t="inlineStr">
        <is>
          <t>18.0 − 2×0.5</t>
        </is>
      </c>
      <c r="C28" s="13" t="inlineStr">
        <is>
          <t>17.0 m</t>
        </is>
      </c>
      <c r="D28" s="7" t="inlineStr"/>
    </row>
    <row r="30" ht="18" customHeight="1">
      <c r="A30" s="2" t="inlineStr">
        <is>
          <t>C. Cluster Layout Calculation</t>
        </is>
      </c>
    </row>
    <row r="31">
      <c r="A31" s="3" t="inlineStr">
        <is>
          <t>Parameter</t>
        </is>
      </c>
      <c r="B31" s="3" t="inlineStr">
        <is>
          <t>Calculation</t>
        </is>
      </c>
      <c r="C31" s="3" t="inlineStr">
        <is>
          <t>Result</t>
        </is>
      </c>
      <c r="D31" s="3" t="inlineStr">
        <is>
          <t>Notes</t>
        </is>
      </c>
    </row>
    <row r="32">
      <c r="A32" s="6" t="inlineStr">
        <is>
          <t>Module orientation</t>
        </is>
      </c>
      <c r="B32" s="7" t="inlineStr">
        <is>
          <t>Portrait chosen</t>
        </is>
      </c>
      <c r="C32" s="7" t="inlineStr">
        <is>
          <t>1.762m along slope, 1.134m along ridge</t>
        </is>
      </c>
      <c r="D32" s="6" t="inlineStr"/>
    </row>
    <row r="33">
      <c r="A33" s="4" t="inlineStr">
        <is>
          <t>Rows per cluster</t>
        </is>
      </c>
      <c r="B33" s="5" t="inlineStr">
        <is>
          <t>floor(2.052 ÷ 1.762)</t>
        </is>
      </c>
      <c r="C33" s="5" t="inlineStr">
        <is>
          <t>1 row</t>
        </is>
      </c>
      <c r="D33" s="4" t="inlineStr">
        <is>
          <t>1.762m &lt; 2.052m available ✓</t>
        </is>
      </c>
    </row>
    <row r="34">
      <c r="A34" s="6" t="inlineStr">
        <is>
          <t>Cols per cluster</t>
        </is>
      </c>
      <c r="B34" s="7" t="inlineStr">
        <is>
          <t>Max allowed</t>
        </is>
      </c>
      <c r="C34" s="7" t="inlineStr">
        <is>
          <t>4 columns</t>
        </is>
      </c>
      <c r="D34" s="6" t="inlineStr"/>
    </row>
    <row r="35">
      <c r="A35" s="4" t="inlineStr">
        <is>
          <t>Cluster width (ridge)</t>
        </is>
      </c>
      <c r="B35" s="5" t="inlineStr">
        <is>
          <t>4 × 1.134m</t>
        </is>
      </c>
      <c r="C35" s="5" t="inlineStr">
        <is>
          <t>4.536 m</t>
        </is>
      </c>
      <c r="D35" s="4" t="inlineStr"/>
    </row>
    <row r="36">
      <c r="A36" s="6" t="inlineStr">
        <is>
          <t>Inter-cluster gap</t>
        </is>
      </c>
      <c r="B36" s="7" t="inlineStr">
        <is>
          <t>Assignment requirement</t>
        </is>
      </c>
      <c r="C36" s="7" t="inlineStr">
        <is>
          <t>0.5 m</t>
        </is>
      </c>
      <c r="D36" s="6" t="inlineStr"/>
    </row>
    <row r="37">
      <c r="A37" s="4" t="inlineStr">
        <is>
          <t>Clusters that fit</t>
        </is>
      </c>
      <c r="B37" s="5" t="inlineStr">
        <is>
          <t>floor((17+0.5) ÷ (4.536+0.5))</t>
        </is>
      </c>
      <c r="C37" s="5" t="inlineStr">
        <is>
          <t>3 clusters</t>
        </is>
      </c>
      <c r="D37" s="4" t="inlineStr"/>
    </row>
    <row r="38">
      <c r="A38" s="6" t="inlineStr">
        <is>
          <t>Ridge length occupied</t>
        </is>
      </c>
      <c r="B38" s="7" t="inlineStr">
        <is>
          <t>3×4×1.134 + 2×0.5</t>
        </is>
      </c>
      <c r="C38" s="7" t="inlineStr">
        <is>
          <t>14.608 m</t>
        </is>
      </c>
      <c r="D38" s="6" t="inlineStr">
        <is>
          <t>&lt; 17.0m ✓</t>
        </is>
      </c>
    </row>
    <row r="39">
      <c r="A39" s="4" t="inlineStr">
        <is>
          <t>Modules per slope</t>
        </is>
      </c>
      <c r="B39" s="5" t="inlineStr">
        <is>
          <t>1 row × 3 clusters × 4 cols</t>
        </is>
      </c>
      <c r="C39" s="5" t="inlineStr">
        <is>
          <t>12 modules</t>
        </is>
      </c>
      <c r="D39" s="4" t="inlineStr"/>
    </row>
    <row r="40">
      <c r="A40" s="6" t="inlineStr">
        <is>
          <t>Total modules (2 slopes)</t>
        </is>
      </c>
      <c r="B40" s="7" t="inlineStr">
        <is>
          <t>12 × 2</t>
        </is>
      </c>
      <c r="C40" s="7" t="inlineStr">
        <is>
          <t>24 modules</t>
        </is>
      </c>
      <c r="D40" s="6" t="inlineStr">
        <is>
          <t>12 south + 12 north</t>
        </is>
      </c>
    </row>
    <row r="41">
      <c r="A41" s="14" t="inlineStr">
        <is>
          <t>TOTAL INSTALLED kWp</t>
        </is>
      </c>
      <c r="B41" s="15" t="inlineStr">
        <is>
          <t>24 × 490W</t>
        </is>
      </c>
      <c r="C41" s="9" t="inlineStr">
        <is>
          <t>11.76 kWp</t>
        </is>
      </c>
      <c r="D41" s="16" t="inlineStr"/>
    </row>
  </sheetData>
  <mergeCells count="4">
    <mergeCell ref="A1:D1"/>
    <mergeCell ref="A30:D30"/>
    <mergeCell ref="A3:D3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 ht="24" customHeight="1">
      <c r="A1" s="1" t="inlineStr">
        <is>
          <t>Q4/Q7 – Inverter &amp; Charge Controller Selection | 120V/60Hz | Tampa</t>
        </is>
      </c>
    </row>
    <row r="3" ht="18" customHeight="1">
      <c r="A3" s="2" t="inlineStr">
        <is>
          <t>A. Inverter Selection – UL Variants Only (120V/60Hz North America)</t>
        </is>
      </c>
    </row>
    <row r="4">
      <c r="A4" s="3" t="inlineStr">
        <is>
          <t>Parameter</t>
        </is>
      </c>
      <c r="B4" s="3" t="inlineStr">
        <is>
          <t>SW 4024</t>
        </is>
      </c>
      <c r="C4" s="3" t="inlineStr">
        <is>
          <t>SW 4048</t>
        </is>
      </c>
      <c r="D4" s="3" t="inlineStr">
        <is>
          <t>XW Pro 6848</t>
        </is>
      </c>
      <c r="E4" s="3" t="inlineStr">
        <is>
          <t>Notes</t>
        </is>
      </c>
    </row>
    <row r="5">
      <c r="A5" s="4" t="inlineStr">
        <is>
          <t>Cont. output power (25°C)</t>
        </is>
      </c>
      <c r="B5" s="5" t="inlineStr">
        <is>
          <t>3,400 W</t>
        </is>
      </c>
      <c r="C5" s="5" t="inlineStr">
        <is>
          <t>3,800 W</t>
        </is>
      </c>
      <c r="D5" s="5" t="inlineStr">
        <is>
          <t>6,800 W</t>
        </is>
      </c>
      <c r="E5" s="4" t="inlineStr">
        <is>
          <t>Critical load = 6,000 W</t>
        </is>
      </c>
    </row>
    <row r="6">
      <c r="A6" s="6" t="inlineStr">
        <is>
          <t>DC bus voltage</t>
        </is>
      </c>
      <c r="B6" s="7" t="inlineStr">
        <is>
          <t>24 V</t>
        </is>
      </c>
      <c r="C6" s="7" t="inlineStr">
        <is>
          <t>48 V</t>
        </is>
      </c>
      <c r="D6" s="7" t="inlineStr">
        <is>
          <t>48 V</t>
        </is>
      </c>
      <c r="E6" s="6" t="inlineStr"/>
    </row>
    <row r="7">
      <c r="A7" s="4" t="inlineStr">
        <is>
          <t>Output voltage</t>
        </is>
      </c>
      <c r="B7" s="5" t="inlineStr">
        <is>
          <t>120/240 V</t>
        </is>
      </c>
      <c r="C7" s="5" t="inlineStr">
        <is>
          <t>120/240 V</t>
        </is>
      </c>
      <c r="D7" s="5" t="inlineStr">
        <is>
          <t>120/240 V split-phase</t>
        </is>
      </c>
      <c r="E7" s="4" t="inlineStr"/>
    </row>
    <row r="8">
      <c r="A8" s="6" t="inlineStr">
        <is>
          <t>Output frequency</t>
        </is>
      </c>
      <c r="B8" s="7" t="inlineStr">
        <is>
          <t>60 Hz</t>
        </is>
      </c>
      <c r="C8" s="7" t="inlineStr">
        <is>
          <t>60 Hz</t>
        </is>
      </c>
      <c r="D8" s="7" t="inlineStr">
        <is>
          <t>60 Hz</t>
        </is>
      </c>
      <c r="E8" s="6" t="inlineStr"/>
    </row>
    <row r="9">
      <c r="A9" s="4" t="inlineStr">
        <is>
          <t>Li-ion compatible?</t>
        </is>
      </c>
      <c r="B9" s="17" t="inlineStr">
        <is>
          <t>✗ No</t>
        </is>
      </c>
      <c r="C9" s="17" t="inlineStr">
        <is>
          <t>✗ No</t>
        </is>
      </c>
      <c r="D9" s="15" t="inlineStr">
        <is>
          <t>✓ Yes</t>
        </is>
      </c>
      <c r="E9" s="4" t="inlineStr">
        <is>
          <t>Required for LFP bank</t>
        </is>
      </c>
    </row>
    <row r="10">
      <c r="A10" s="6" t="inlineStr">
        <is>
          <t>Peak efficiency</t>
        </is>
      </c>
      <c r="B10" s="7" t="inlineStr">
        <is>
          <t>92%</t>
        </is>
      </c>
      <c r="C10" s="7" t="inlineStr">
        <is>
          <t>94%</t>
        </is>
      </c>
      <c r="D10" s="7" t="inlineStr">
        <is>
          <t>96.1%</t>
        </is>
      </c>
      <c r="E10" s="6" t="inlineStr"/>
    </row>
    <row r="11">
      <c r="A11" s="4" t="inlineStr">
        <is>
          <t>CEC weighted eff.</t>
        </is>
      </c>
      <c r="B11" s="5" t="inlineStr">
        <is>
          <t>–</t>
        </is>
      </c>
      <c r="C11" s="5" t="inlineStr">
        <is>
          <t>–</t>
        </is>
      </c>
      <c r="D11" s="5" t="inlineStr">
        <is>
          <t>94.1%</t>
        </is>
      </c>
      <c r="E11" s="4" t="inlineStr">
        <is>
          <t>Used for GT calculations</t>
        </is>
      </c>
    </row>
    <row r="12">
      <c r="A12" s="6" t="inlineStr">
        <is>
          <t>Transfer time</t>
        </is>
      </c>
      <c r="B12" s="7" t="inlineStr">
        <is>
          <t>&lt;16.7 ms</t>
        </is>
      </c>
      <c r="C12" s="7" t="inlineStr">
        <is>
          <t>&lt;16.7 ms</t>
        </is>
      </c>
      <c r="D12" s="7" t="inlineStr">
        <is>
          <t>8 ms</t>
        </is>
      </c>
      <c r="E12" s="6" t="inlineStr">
        <is>
          <t>Faster for data center</t>
        </is>
      </c>
    </row>
    <row r="13">
      <c r="A13" s="4" t="inlineStr">
        <is>
          <t>Covers 6 kW load?</t>
        </is>
      </c>
      <c r="B13" s="17" t="inlineStr">
        <is>
          <t>✗ NO</t>
        </is>
      </c>
      <c r="C13" s="17" t="inlineStr">
        <is>
          <t>✗ NO</t>
        </is>
      </c>
      <c r="D13" s="15" t="inlineStr">
        <is>
          <t>✓ YES</t>
        </is>
      </c>
      <c r="E13" s="4" t="inlineStr">
        <is>
          <t>SW units eliminated</t>
        </is>
      </c>
    </row>
    <row r="15" ht="18" customHeight="1">
      <c r="A15" s="2" t="inlineStr">
        <is>
          <t>B. Inverter Voltage Clarification – IMPORTANT</t>
        </is>
      </c>
    </row>
    <row r="16" ht="70" customHeight="1">
      <c r="A16" s="18" t="inlineStr">
        <is>
          <t>The XW Pro 6848 NA is used in the 120/240V split-phase configuration. Tampa requires 120V/60Hz (Table I), which is standard North American split-phase service. The 6,800W continuous rating applies to this split-phase configuration and covers the 6,000W critical load. In 120V-only single-phase mode the rating drops to 5,760W, which would be insufficient. A North American data-centre switchboard provides 120/240V split-phase — this is the assumed installation configuration.</t>
        </is>
      </c>
    </row>
    <row r="18" ht="18" customHeight="1">
      <c r="A18" s="2" t="inlineStr">
        <is>
          <t>C. String Configuration for CC Selection</t>
        </is>
      </c>
    </row>
    <row r="19">
      <c r="A19" s="3" t="inlineStr">
        <is>
          <t>Parameter</t>
        </is>
      </c>
      <c r="B19" s="3" t="inlineStr">
        <is>
          <t>Value</t>
        </is>
      </c>
      <c r="C19" s="3" t="inlineStr">
        <is>
          <t>Unit</t>
        </is>
      </c>
      <c r="D19" s="3" t="inlineStr">
        <is>
          <t>Formula</t>
        </is>
      </c>
      <c r="E19" s="3" t="inlineStr">
        <is>
          <t>Notes</t>
        </is>
      </c>
    </row>
    <row r="20">
      <c r="A20" s="6" t="inlineStr">
        <is>
          <t>Modules per slope</t>
        </is>
      </c>
      <c r="B20" s="7" t="inlineStr">
        <is>
          <t>12</t>
        </is>
      </c>
      <c r="C20" s="13" t="inlineStr"/>
      <c r="D20" s="7" t="inlineStr"/>
      <c r="E20" s="6" t="inlineStr"/>
    </row>
    <row r="21">
      <c r="A21" s="4" t="inlineStr">
        <is>
          <t>String config</t>
        </is>
      </c>
      <c r="B21" s="5" t="inlineStr">
        <is>
          <t>6S × 2P</t>
        </is>
      </c>
      <c r="C21" s="12" t="inlineStr"/>
      <c r="D21" s="5" t="inlineStr">
        <is>
          <t>per CC</t>
        </is>
      </c>
      <c r="E21" s="4" t="inlineStr">
        <is>
          <t>Two strings of 6 in series</t>
        </is>
      </c>
    </row>
    <row r="22">
      <c r="A22" s="6" t="inlineStr">
        <is>
          <t>Voc per CC (STC)</t>
        </is>
      </c>
      <c r="B22" s="7">
        <f>6 × 41.10</f>
        <v/>
      </c>
      <c r="C22" s="13">
        <f> 246.60</f>
        <v/>
      </c>
      <c r="D22" s="7" t="inlineStr">
        <is>
          <t>V</t>
        </is>
      </c>
      <c r="E22" s="6" t="inlineStr"/>
    </row>
    <row r="23">
      <c r="A23" s="4" t="inlineStr">
        <is>
          <t>Vmp per CC (STC)</t>
        </is>
      </c>
      <c r="B23" s="5">
        <f>6 × 34.70</f>
        <v/>
      </c>
      <c r="C23" s="12">
        <f> 208.20</f>
        <v/>
      </c>
      <c r="D23" s="5" t="inlineStr">
        <is>
          <t>V</t>
        </is>
      </c>
      <c r="E23" s="4" t="inlineStr"/>
    </row>
    <row r="24">
      <c r="A24" s="6" t="inlineStr">
        <is>
          <t>Isc per CC (STC)</t>
        </is>
      </c>
      <c r="B24" s="7">
        <f>2 × 14.88</f>
        <v/>
      </c>
      <c r="C24" s="13">
        <f> 29.76</f>
        <v/>
      </c>
      <c r="D24" s="7" t="inlineStr">
        <is>
          <t>A</t>
        </is>
      </c>
      <c r="E24" s="6" t="inlineStr"/>
    </row>
    <row r="25">
      <c r="A25" s="4" t="inlineStr">
        <is>
          <t>Imp per CC (STC)</t>
        </is>
      </c>
      <c r="B25" s="5">
        <f>2 × 14.13</f>
        <v/>
      </c>
      <c r="C25" s="12">
        <f> 28.26</f>
        <v/>
      </c>
      <c r="D25" s="5" t="inlineStr">
        <is>
          <t>A</t>
        </is>
      </c>
      <c r="E25" s="4" t="inlineStr"/>
    </row>
    <row r="26">
      <c r="A26" s="6" t="inlineStr">
        <is>
          <t>Power per CC</t>
        </is>
      </c>
      <c r="B26" s="7">
        <f>12 × 490</f>
        <v/>
      </c>
      <c r="C26" s="13">
        <f> 5,880</f>
        <v/>
      </c>
      <c r="D26" s="7" t="inlineStr">
        <is>
          <t>W</t>
        </is>
      </c>
      <c r="E26" s="6" t="inlineStr"/>
    </row>
    <row r="27">
      <c r="A27" s="4" t="inlineStr">
        <is>
          <t>Voc at cold (-5°C Tampa low)</t>
        </is>
      </c>
      <c r="B27" s="5">
        <f>6×(41.10+(−0.22/100)×(−30)×41.10)</f>
        <v/>
      </c>
      <c r="C27" s="12" t="inlineStr">
        <is>
          <t>≈ 262.9</t>
        </is>
      </c>
      <c r="D27" s="5" t="inlineStr">
        <is>
          <t>V</t>
        </is>
      </c>
      <c r="E27" s="4" t="inlineStr"/>
    </row>
    <row r="29" ht="18" customHeight="1">
      <c r="A29" s="2" t="inlineStr">
        <is>
          <t>D. Charge Controller Comparison</t>
        </is>
      </c>
    </row>
    <row r="30">
      <c r="A30" s="3" t="inlineStr">
        <is>
          <t>Check</t>
        </is>
      </c>
      <c r="B30" s="3" t="inlineStr">
        <is>
          <t>MPPT 60-150</t>
        </is>
      </c>
      <c r="C30" s="3" t="inlineStr">
        <is>
          <t>MPPT 80-600</t>
        </is>
      </c>
      <c r="D30" s="3" t="inlineStr">
        <is>
          <t>MPPT 100-600</t>
        </is>
      </c>
      <c r="E30" s="3" t="inlineStr">
        <is>
          <t>Limit values</t>
        </is>
      </c>
    </row>
    <row r="31">
      <c r="A31" s="4" t="inlineStr">
        <is>
          <t>Max PV Voc limit</t>
        </is>
      </c>
      <c r="B31" s="5" t="inlineStr">
        <is>
          <t>150 V</t>
        </is>
      </c>
      <c r="C31" s="5" t="inlineStr">
        <is>
          <t>600 V</t>
        </is>
      </c>
      <c r="D31" s="5" t="inlineStr">
        <is>
          <t>600 V</t>
        </is>
      </c>
      <c r="E31" s="4" t="inlineStr"/>
    </row>
    <row r="32">
      <c r="A32" s="6" t="inlineStr">
        <is>
          <t>Max array Isc</t>
        </is>
      </c>
      <c r="B32" s="7" t="inlineStr">
        <is>
          <t>60 A</t>
        </is>
      </c>
      <c r="C32" s="7" t="inlineStr">
        <is>
          <t>28 A</t>
        </is>
      </c>
      <c r="D32" s="7" t="inlineStr">
        <is>
          <t>35 A</t>
        </is>
      </c>
      <c r="E32" s="6" t="inlineStr"/>
    </row>
    <row r="33">
      <c r="A33" s="4" t="inlineStr">
        <is>
          <t>Max output power (48V)</t>
        </is>
      </c>
      <c r="B33" s="5" t="inlineStr">
        <is>
          <t>3,500 W</t>
        </is>
      </c>
      <c r="C33" s="5" t="inlineStr">
        <is>
          <t>4,800 W</t>
        </is>
      </c>
      <c r="D33" s="5" t="inlineStr">
        <is>
          <t>6,000 W</t>
        </is>
      </c>
      <c r="E33" s="4" t="inlineStr"/>
    </row>
    <row r="34">
      <c r="A34" s="6" t="inlineStr">
        <is>
          <t>Max charge current</t>
        </is>
      </c>
      <c r="B34" s="7" t="inlineStr">
        <is>
          <t>60 A</t>
        </is>
      </c>
      <c r="C34" s="7" t="inlineStr">
        <is>
          <t>80 A</t>
        </is>
      </c>
      <c r="D34" s="7" t="inlineStr">
        <is>
          <t>100 A</t>
        </is>
      </c>
      <c r="E34" s="6" t="inlineStr"/>
    </row>
    <row r="35">
      <c r="A35" s="4" t="inlineStr">
        <is>
          <t>MPPT voltage range</t>
        </is>
      </c>
      <c r="B35" s="5" t="inlineStr">
        <is>
          <t>Batt+5–140 V</t>
        </is>
      </c>
      <c r="C35" s="5" t="inlineStr">
        <is>
          <t>195–510 V</t>
        </is>
      </c>
      <c r="D35" s="5" t="inlineStr">
        <is>
          <t>195–510 V</t>
        </is>
      </c>
      <c r="E35" s="4" t="inlineStr"/>
    </row>
    <row r="36">
      <c r="A36" s="6" t="inlineStr">
        <is>
          <t>Efficiency (48V nominal)</t>
        </is>
      </c>
      <c r="B36" s="7" t="inlineStr">
        <is>
          <t>98%</t>
        </is>
      </c>
      <c r="C36" s="7" t="inlineStr">
        <is>
          <t>95%</t>
        </is>
      </c>
      <c r="D36" s="7" t="inlineStr">
        <is>
          <t>95%</t>
        </is>
      </c>
      <c r="E36" s="6" t="inlineStr"/>
    </row>
    <row r="37">
      <c r="A37" s="19" t="inlineStr">
        <is>
          <t>Array: Voc=246.6V | Vmp=208.2V | Isc=29.76A | Power=5,880W</t>
        </is>
      </c>
    </row>
    <row r="38">
      <c r="A38" s="6" t="inlineStr">
        <is>
          <t>Voc 246.6V ≤ limit?</t>
        </is>
      </c>
      <c r="B38" s="17" t="inlineStr">
        <is>
          <t>✗ FAIL (&gt;150V)</t>
        </is>
      </c>
      <c r="C38" s="15" t="inlineStr">
        <is>
          <t>✓ PASS</t>
        </is>
      </c>
      <c r="D38" s="15" t="inlineStr">
        <is>
          <t>✓ PASS</t>
        </is>
      </c>
      <c r="E38" s="6" t="inlineStr">
        <is>
          <t>Limit: 150 / 600 / 600V</t>
        </is>
      </c>
    </row>
    <row r="39">
      <c r="A39" s="4" t="inlineStr">
        <is>
          <t>Vmp 208.2V in range?</t>
        </is>
      </c>
      <c r="B39" s="17" t="inlineStr">
        <is>
          <t>✗ FAIL</t>
        </is>
      </c>
      <c r="C39" s="15" t="inlineStr">
        <is>
          <t>✓ PASS</t>
        </is>
      </c>
      <c r="D39" s="15" t="inlineStr">
        <is>
          <t>✓ PASS</t>
        </is>
      </c>
      <c r="E39" s="4" t="inlineStr">
        <is>
          <t>Range: –/195-510/195-510V</t>
        </is>
      </c>
    </row>
    <row r="40">
      <c r="A40" s="6" t="inlineStr">
        <is>
          <t>Isc 29.76A ≤ limit?</t>
        </is>
      </c>
      <c r="B40" s="15" t="inlineStr">
        <is>
          <t>✓ PASS (29.76&lt;60)</t>
        </is>
      </c>
      <c r="C40" s="17" t="inlineStr">
        <is>
          <t>✗ FAIL (29.76&gt;28)</t>
        </is>
      </c>
      <c r="D40" s="15" t="inlineStr">
        <is>
          <t>✓ PASS (29.76&lt;35)</t>
        </is>
      </c>
      <c r="E40" s="6" t="inlineStr">
        <is>
          <t>Limit: 60/28/35A</t>
        </is>
      </c>
    </row>
    <row r="41">
      <c r="A41" s="4" t="inlineStr">
        <is>
          <t>Power 5880W ≤ limit?</t>
        </is>
      </c>
      <c r="B41" s="17" t="inlineStr">
        <is>
          <t>✗ FAIL (&gt;3500W)</t>
        </is>
      </c>
      <c r="C41" s="17" t="inlineStr">
        <is>
          <t>✗ FAIL (5880&gt;4800)</t>
        </is>
      </c>
      <c r="D41" s="15" t="inlineStr">
        <is>
          <t>✓ PASS (5880&lt;6000)</t>
        </is>
      </c>
      <c r="E41" s="4" t="inlineStr">
        <is>
          <t>Limit: 3500/4800/6000W</t>
        </is>
      </c>
    </row>
    <row r="42">
      <c r="A42" s="20" t="inlineStr">
        <is>
          <t>ALL PASS?</t>
        </is>
      </c>
      <c r="B42" s="13" t="inlineStr">
        <is>
          <t>✗ NO</t>
        </is>
      </c>
      <c r="C42" s="13" t="inlineStr">
        <is>
          <t>✗ NO</t>
        </is>
      </c>
      <c r="D42" s="9" t="inlineStr">
        <is>
          <t>✓ YES</t>
        </is>
      </c>
      <c r="E42" s="6" t="inlineStr"/>
    </row>
    <row r="44" ht="18" customHeight="1">
      <c r="A44" s="21" t="inlineStr">
        <is>
          <t>SELECTED: 2 × Conext MPPT 100-600 (one per slope) | Part 865-1034 | 95% efficiency</t>
        </is>
      </c>
    </row>
  </sheetData>
  <mergeCells count="8">
    <mergeCell ref="A29:E29"/>
    <mergeCell ref="A16:E16"/>
    <mergeCell ref="A15:E15"/>
    <mergeCell ref="A1:E1"/>
    <mergeCell ref="A37:E37"/>
    <mergeCell ref="A44:E44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34" customWidth="1" min="4" max="4"/>
  </cols>
  <sheetData>
    <row r="1" ht="24" customHeight="1">
      <c r="A1" s="1" t="inlineStr">
        <is>
          <t>Q8 – Final Battery Bank Design | 2S×8P | 16 × Victron LFP 25.6V/200Ah</t>
        </is>
      </c>
    </row>
    <row r="3" ht="18" customHeight="1">
      <c r="A3" s="2" t="inlineStr">
        <is>
          <t>A. DC Energy Requirement (includes inverter losses)</t>
        </is>
      </c>
    </row>
    <row r="4">
      <c r="A4" s="3" t="inlineStr">
        <is>
          <t>Parameter</t>
        </is>
      </c>
      <c r="B4" s="3" t="inlineStr">
        <is>
          <t>Formula / Value</t>
        </is>
      </c>
      <c r="C4" s="3" t="inlineStr">
        <is>
          <t>Result</t>
        </is>
      </c>
      <c r="D4" s="3" t="inlineStr">
        <is>
          <t>Notes</t>
        </is>
      </c>
    </row>
    <row r="5">
      <c r="A5" s="4" t="inlineStr">
        <is>
          <t>Critical AC load</t>
        </is>
      </c>
      <c r="B5" s="5" t="inlineStr">
        <is>
          <t>Given</t>
        </is>
      </c>
      <c r="C5" s="5" t="inlineStr">
        <is>
          <t>6.0 kW</t>
        </is>
      </c>
      <c r="D5" s="4" t="inlineStr">
        <is>
          <t>Load 3</t>
        </is>
      </c>
    </row>
    <row r="6">
      <c r="A6" s="6" t="inlineStr">
        <is>
          <t>Blackout duration</t>
        </is>
      </c>
      <c r="B6" s="7" t="inlineStr">
        <is>
          <t>20:00 Thu → 04:00 Fri</t>
        </is>
      </c>
      <c r="C6" s="7" t="inlineStr">
        <is>
          <t>8 h</t>
        </is>
      </c>
      <c r="D6" s="6" t="inlineStr"/>
    </row>
    <row r="7">
      <c r="A7" s="4" t="inlineStr">
        <is>
          <t>AC energy per event</t>
        </is>
      </c>
      <c r="B7" s="5">
        <f>6.0 × 8</f>
        <v/>
      </c>
      <c r="C7" s="5" t="inlineStr">
        <is>
          <t>48.0 kWh</t>
        </is>
      </c>
      <c r="D7" s="4" t="inlineStr"/>
    </row>
    <row r="8">
      <c r="A8" s="6" t="inlineStr">
        <is>
          <t>Blackout inverter efficiency</t>
        </is>
      </c>
      <c r="B8" s="7" t="inlineStr">
        <is>
          <t>From efficiency curve @ 88.8%</t>
        </is>
      </c>
      <c r="C8" s="7" t="inlineStr">
        <is>
          <t>91.3931%</t>
        </is>
      </c>
      <c r="D8" s="6" t="inlineStr"/>
    </row>
    <row r="9">
      <c r="A9" s="22" t="inlineStr">
        <is>
          <t>DC ENERGY NEEDED PER EVENT</t>
        </is>
      </c>
      <c r="B9" s="23">
        <f>48.0 ÷ 0.9139</f>
        <v/>
      </c>
      <c r="C9" s="24" t="inlineStr">
        <is>
          <t>52.520 kWh</t>
        </is>
      </c>
      <c r="D9" s="25" t="inlineStr">
        <is>
          <t>Battery must supply this DC energy</t>
        </is>
      </c>
    </row>
    <row r="10">
      <c r="A10" s="6" t="inlineStr">
        <is>
          <t>Max DoD constraint</t>
        </is>
      </c>
      <c r="B10" s="7" t="inlineStr">
        <is>
          <t>Assignment: max 80% DoD</t>
        </is>
      </c>
      <c r="C10" s="7" t="inlineStr">
        <is>
          <t>80%</t>
        </is>
      </c>
      <c r="D10" s="6" t="inlineStr"/>
    </row>
    <row r="11">
      <c r="A11" s="4" t="inlineStr">
        <is>
          <t>Min nominal capacity required</t>
        </is>
      </c>
      <c r="B11" s="5">
        <f>52.520 ÷ 0.80</f>
        <v/>
      </c>
      <c r="C11" s="5" t="inlineStr">
        <is>
          <t>65.650 kWh</t>
        </is>
      </c>
      <c r="D11" s="4" t="inlineStr"/>
    </row>
    <row r="13" ht="18" customHeight="1">
      <c r="A13" s="2" t="inlineStr">
        <is>
          <t>B. Bank Configuration</t>
        </is>
      </c>
    </row>
    <row r="14">
      <c r="A14" s="3" t="inlineStr">
        <is>
          <t>Parameter</t>
        </is>
      </c>
      <c r="B14" s="3" t="inlineStr">
        <is>
          <t>Formula / Value</t>
        </is>
      </c>
      <c r="C14" s="3" t="inlineStr">
        <is>
          <t>Result</t>
        </is>
      </c>
      <c r="D14" s="3" t="inlineStr">
        <is>
          <t>Notes</t>
        </is>
      </c>
    </row>
    <row r="15">
      <c r="A15" s="4" t="inlineStr">
        <is>
          <t>Battery type</t>
        </is>
      </c>
      <c r="B15" s="5" t="inlineStr">
        <is>
          <t>Victron LFP Smart</t>
        </is>
      </c>
      <c r="C15" s="5" t="inlineStr">
        <is>
          <t>25.6V / 200Ah</t>
        </is>
      </c>
      <c r="D15" s="4" t="inlineStr">
        <is>
          <t>Integrated BMS, 2500 cycles @ 80% DoD</t>
        </is>
      </c>
    </row>
    <row r="16">
      <c r="A16" s="6" t="inlineStr">
        <is>
          <t>Energy per unit</t>
        </is>
      </c>
      <c r="B16" s="7">
        <f>25.6 × 200 / 1000</f>
        <v/>
      </c>
      <c r="C16" s="7" t="inlineStr">
        <is>
          <t>5.12 kWh</t>
        </is>
      </c>
      <c r="D16" s="6" t="inlineStr"/>
    </row>
    <row r="17">
      <c r="A17" s="4" t="inlineStr">
        <is>
          <t>DC bus voltage (inverter)</t>
        </is>
      </c>
      <c r="B17" s="5" t="inlineStr">
        <is>
          <t>XW Pro 6848 requirement</t>
        </is>
      </c>
      <c r="C17" s="5" t="inlineStr">
        <is>
          <t>48V nominal</t>
        </is>
      </c>
      <c r="D17" s="4" t="inlineStr"/>
    </row>
    <row r="18">
      <c r="A18" s="6" t="inlineStr">
        <is>
          <t>Series units per string</t>
        </is>
      </c>
      <c r="B18" s="7">
        <f>2 × 25.6V</f>
        <v/>
      </c>
      <c r="C18" s="7" t="inlineStr">
        <is>
          <t>2S → 51.2V</t>
        </is>
      </c>
      <c r="D18" s="6" t="inlineStr"/>
    </row>
    <row r="19">
      <c r="A19" s="4" t="inlineStr">
        <is>
          <t>String capacity (Ah)</t>
        </is>
      </c>
      <c r="B19" s="5" t="inlineStr">
        <is>
          <t>Series: same Ah</t>
        </is>
      </c>
      <c r="C19" s="5" t="inlineStr">
        <is>
          <t>200 Ah</t>
        </is>
      </c>
      <c r="D19" s="4" t="inlineStr">
        <is>
          <t>Series connection keeps Ah unchanged</t>
        </is>
      </c>
    </row>
    <row r="20">
      <c r="A20" s="6" t="inlineStr">
        <is>
          <t>String energy</t>
        </is>
      </c>
      <c r="B20" s="7">
        <f>51.2 × 200 / 1000</f>
        <v/>
      </c>
      <c r="C20" s="7" t="inlineStr">
        <is>
          <t>10.24 kWh</t>
        </is>
      </c>
      <c r="D20" s="6" t="inlineStr"/>
    </row>
    <row r="21">
      <c r="A21" s="4" t="inlineStr">
        <is>
          <t>Parallel strings</t>
        </is>
      </c>
      <c r="B21" s="5" t="inlineStr">
        <is>
          <t>ceil(65.65 / 10.24)</t>
        </is>
      </c>
      <c r="C21" s="5" t="inlineStr">
        <is>
          <t>7P would give 71.68kWh; 8P selected for margin</t>
        </is>
      </c>
      <c r="D21" s="4" t="inlineStr"/>
    </row>
    <row r="22">
      <c r="A22" s="14" t="inlineStr">
        <is>
          <t>TOTAL BATTERIES</t>
        </is>
      </c>
      <c r="B22" s="15">
        <f>2S × 8P</f>
        <v/>
      </c>
      <c r="C22" s="9" t="inlineStr">
        <is>
          <t>16 batteries</t>
        </is>
      </c>
      <c r="D22" s="16" t="inlineStr"/>
    </row>
    <row r="23">
      <c r="A23" s="4" t="inlineStr">
        <is>
          <t>Bank voltage</t>
        </is>
      </c>
      <c r="B23" s="5">
        <f>2 × 25.6</f>
        <v/>
      </c>
      <c r="C23" s="5" t="inlineStr">
        <is>
          <t>51.2 V</t>
        </is>
      </c>
      <c r="D23" s="4" t="inlineStr"/>
    </row>
    <row r="24">
      <c r="A24" s="6" t="inlineStr">
        <is>
          <t>Bank total Ah</t>
        </is>
      </c>
      <c r="B24" s="7">
        <f>8 × 200</f>
        <v/>
      </c>
      <c r="C24" s="7" t="inlineStr">
        <is>
          <t>1,600 Ah</t>
        </is>
      </c>
      <c r="D24" s="6" t="inlineStr"/>
    </row>
    <row r="25">
      <c r="A25" s="14" t="inlineStr">
        <is>
          <t>NOMINAL CAPACITY</t>
        </is>
      </c>
      <c r="B25" s="15">
        <f>16 × 5.12</f>
        <v/>
      </c>
      <c r="C25" s="9" t="inlineStr">
        <is>
          <t>81.92 kWh</t>
        </is>
      </c>
      <c r="D25" s="16" t="inlineStr"/>
    </row>
    <row r="27" ht="18" customHeight="1">
      <c r="A27" s="2" t="inlineStr">
        <is>
          <t>C. Usable Capacity &amp; Margin (both DoD interpretations presented)</t>
        </is>
      </c>
    </row>
    <row r="28" ht="90" customHeight="1">
      <c r="A28" s="18" t="inlineStr">
        <is>
          <t>The assignment states max DoD = 80% and charging ceiling = 95% SoC. There are two defensible interpretations of how the DoD floor is calculated:
  • Interpretation A (DoD from starting SoC 95%): floor = 95% − 80% = 15% SoC → usable = 80% × 81.92 = 65.54 kWh → margin = 13.02 kWh
  • Interpretation B (DoD from full charge 100%): floor = 100% − 80% = 20% SoC → usable = 75% × 81.92 = 61.44 kWh → margin = 8.92 kWh
Both interpretations pass. Actual minimum SoC reached in simulation: 30.9% — well above both floors. The design is robust under either interpretation.</t>
        </is>
      </c>
    </row>
    <row r="30" ht="18" customHeight="1">
      <c r="A30" s="2" t="inlineStr">
        <is>
          <t>D. 3-Year Degradation Check</t>
        </is>
      </c>
    </row>
    <row r="31">
      <c r="A31" s="3" t="inlineStr">
        <is>
          <t>Parameter</t>
        </is>
      </c>
      <c r="B31" s="3" t="inlineStr">
        <is>
          <t>Representative Year 1</t>
        </is>
      </c>
      <c r="C31" s="3" t="inlineStr">
        <is>
          <t>Representative Year 2</t>
        </is>
      </c>
      <c r="D31" s="3" t="inlineStr">
        <is>
          <t>Representative Year 3 + end</t>
        </is>
      </c>
    </row>
    <row r="32">
      <c r="A32" s="6" t="inlineStr">
        <is>
          <t>Cumulative cycles</t>
        </is>
      </c>
      <c r="B32" s="7" t="inlineStr">
        <is>
          <t>52</t>
        </is>
      </c>
      <c r="C32" s="7" t="inlineStr">
        <is>
          <t>104</t>
        </is>
      </c>
      <c r="D32" s="7" t="inlineStr">
        <is>
          <t>156</t>
        </is>
      </c>
    </row>
    <row r="33">
      <c r="A33" s="4" t="inlineStr">
        <is>
          <t>Nominal capacity (kWh)</t>
        </is>
      </c>
      <c r="B33" s="5" t="inlineStr">
        <is>
          <t>81.920</t>
        </is>
      </c>
      <c r="C33" s="5" t="inlineStr">
        <is>
          <t>81.068</t>
        </is>
      </c>
      <c r="D33" s="5" t="inlineStr">
        <is>
          <t>80.216</t>
        </is>
      </c>
    </row>
    <row r="34">
      <c r="A34" s="6" t="inlineStr">
        <is>
          <t>Degradation (%)</t>
        </is>
      </c>
      <c r="B34" s="7" t="inlineStr">
        <is>
          <t>0.000%</t>
        </is>
      </c>
      <c r="C34" s="7" t="inlineStr">
        <is>
          <t>1.040%</t>
        </is>
      </c>
      <c r="D34" s="7" t="inlineStr">
        <is>
          <t>2.080%</t>
        </is>
      </c>
    </row>
    <row r="35">
      <c r="A35" s="4" t="inlineStr">
        <is>
          <t>Usable – Interp A (80%×nom)</t>
        </is>
      </c>
      <c r="B35" s="5" t="inlineStr">
        <is>
          <t>65.536</t>
        </is>
      </c>
      <c r="C35" s="5" t="inlineStr">
        <is>
          <t>64.854</t>
        </is>
      </c>
      <c r="D35" s="5" t="inlineStr">
        <is>
          <t>64.173</t>
        </is>
      </c>
    </row>
    <row r="36">
      <c r="A36" s="6" t="inlineStr">
        <is>
          <t>Usable – Interp B (75%×nom)</t>
        </is>
      </c>
      <c r="B36" s="7" t="inlineStr">
        <is>
          <t>61.440</t>
        </is>
      </c>
      <c r="C36" s="7" t="inlineStr">
        <is>
          <t>60.801</t>
        </is>
      </c>
      <c r="D36" s="7" t="inlineStr">
        <is>
          <t>60.162</t>
        </is>
      </c>
    </row>
    <row r="37">
      <c r="A37" s="4" t="inlineStr">
        <is>
          <t>DC demand per event (kWh)</t>
        </is>
      </c>
      <c r="B37" s="5" t="inlineStr">
        <is>
          <t>52.520</t>
        </is>
      </c>
      <c r="C37" s="5" t="inlineStr">
        <is>
          <t>52.520</t>
        </is>
      </c>
      <c r="D37" s="5" t="inlineStr">
        <is>
          <t>52.520</t>
        </is>
      </c>
    </row>
    <row r="38">
      <c r="A38" s="25" t="inlineStr">
        <is>
          <t>Margin A (kWh)</t>
        </is>
      </c>
      <c r="B38" s="23" t="inlineStr">
        <is>
          <t>13.016</t>
        </is>
      </c>
      <c r="C38" s="23" t="inlineStr">
        <is>
          <t>12.334</t>
        </is>
      </c>
      <c r="D38" s="23" t="inlineStr">
        <is>
          <t>11.652</t>
        </is>
      </c>
    </row>
    <row r="39">
      <c r="A39" s="25" t="inlineStr">
        <is>
          <t>Margin B (kWh)</t>
        </is>
      </c>
      <c r="B39" s="23" t="inlineStr">
        <is>
          <t>8.920</t>
        </is>
      </c>
      <c r="C39" s="23" t="inlineStr">
        <is>
          <t>8.281</t>
        </is>
      </c>
      <c r="D39" s="23" t="inlineStr">
        <is>
          <t>7.642</t>
        </is>
      </c>
    </row>
    <row r="40">
      <c r="A40" s="14" t="inlineStr">
        <is>
          <t>All blackouts covered?</t>
        </is>
      </c>
      <c r="B40" s="9" t="inlineStr">
        <is>
          <t>✓ YES – both interpretations</t>
        </is>
      </c>
      <c r="C40" s="9" t="inlineStr">
        <is>
          <t>✓ YES – both interpretations</t>
        </is>
      </c>
      <c r="D40" s="9" t="inlineStr">
        <is>
          <t>✓ YES – both interpretations</t>
        </is>
      </c>
    </row>
  </sheetData>
  <mergeCells count="6">
    <mergeCell ref="A1:D1"/>
    <mergeCell ref="A27:D27"/>
    <mergeCell ref="A3:D3"/>
    <mergeCell ref="A30:D30"/>
    <mergeCell ref="A28:D28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6" customWidth="1" min="4" max="4"/>
  </cols>
  <sheetData>
    <row r="1" ht="24" customHeight="1">
      <c r="A1" s="1" t="inlineStr">
        <is>
          <t>Q6 – Inverter Efficiency Analysis | XW Pro 6848 NA</t>
        </is>
      </c>
    </row>
    <row r="3" ht="18" customHeight="1">
      <c r="A3" s="2" t="inlineStr">
        <is>
          <t>A. Key Operating Points</t>
        </is>
      </c>
    </row>
    <row r="4">
      <c r="A4" s="3" t="inlineStr">
        <is>
          <t>Mode</t>
        </is>
      </c>
      <c r="B4" s="3" t="inlineStr">
        <is>
          <t>Load %</t>
        </is>
      </c>
      <c r="C4" s="3" t="inlineStr">
        <is>
          <t>Efficiency</t>
        </is>
      </c>
      <c r="D4" s="3" t="inlineStr">
        <is>
          <t>Notes</t>
        </is>
      </c>
    </row>
    <row r="5">
      <c r="A5" s="4" t="inlineStr">
        <is>
          <t>GT – low irradiance</t>
        </is>
      </c>
      <c r="B5" s="5" t="inlineStr">
        <is>
          <t>5.0%</t>
        </is>
      </c>
      <c r="C5" s="5" t="inlineStr">
        <is>
          <t>86.41%</t>
        </is>
      </c>
      <c r="D5" s="4" t="inlineStr"/>
    </row>
    <row r="6">
      <c r="A6" s="6" t="inlineStr">
        <is>
          <t>GT – morning/evening</t>
        </is>
      </c>
      <c r="B6" s="7" t="inlineStr">
        <is>
          <t>10.0%</t>
        </is>
      </c>
      <c r="C6" s="7" t="inlineStr">
        <is>
          <t>92.24%</t>
        </is>
      </c>
      <c r="D6" s="6" t="inlineStr"/>
    </row>
    <row r="7">
      <c r="A7" s="4" t="inlineStr">
        <is>
          <t>GT – moderate</t>
        </is>
      </c>
      <c r="B7" s="5" t="inlineStr">
        <is>
          <t>25.0%</t>
        </is>
      </c>
      <c r="C7" s="5" t="inlineStr">
        <is>
          <t>94.77%</t>
        </is>
      </c>
      <c r="D7" s="4" t="inlineStr"/>
    </row>
    <row r="8">
      <c r="A8" s="14" t="inlineStr">
        <is>
          <t>GT – PEAK EFFICIENCY</t>
        </is>
      </c>
      <c r="B8" s="9" t="inlineStr">
        <is>
          <t>27.5%</t>
        </is>
      </c>
      <c r="C8" s="9" t="inlineStr">
        <is>
          <t>94.80%</t>
        </is>
      </c>
      <c r="D8" s="16" t="inlineStr">
        <is>
          <t>Max efficiency point</t>
        </is>
      </c>
    </row>
    <row r="9">
      <c r="A9" s="4" t="inlineStr">
        <is>
          <t>GT – strong sun</t>
        </is>
      </c>
      <c r="B9" s="5" t="inlineStr">
        <is>
          <t>50.0%</t>
        </is>
      </c>
      <c r="C9" s="5" t="inlineStr">
        <is>
          <t>93.99%</t>
        </is>
      </c>
      <c r="D9" s="4" t="inlineStr"/>
    </row>
    <row r="10">
      <c r="A10" s="6" t="inlineStr">
        <is>
          <t>GT – near max PV</t>
        </is>
      </c>
      <c r="B10" s="7" t="inlineStr">
        <is>
          <t>80.0%</t>
        </is>
      </c>
      <c r="C10" s="7" t="inlineStr">
        <is>
          <t>92.03%</t>
        </is>
      </c>
      <c r="D10" s="6" t="inlineStr"/>
    </row>
    <row r="11">
      <c r="A11" s="22" t="inlineStr">
        <is>
          <t>BLACKOUT fixed load</t>
        </is>
      </c>
      <c r="B11" s="24" t="inlineStr">
        <is>
          <t>88.8%</t>
        </is>
      </c>
      <c r="C11" s="24" t="inlineStr">
        <is>
          <t>91.39%</t>
        </is>
      </c>
      <c r="D11" s="25" t="inlineStr">
        <is>
          <t>Fixed point all blackouts</t>
        </is>
      </c>
    </row>
    <row r="12">
      <c r="A12" s="6" t="inlineStr">
        <is>
          <t>Full rated output</t>
        </is>
      </c>
      <c r="B12" s="7" t="inlineStr">
        <is>
          <t>100.0%</t>
        </is>
      </c>
      <c r="C12" s="7" t="inlineStr">
        <is>
          <t>90.56%</t>
        </is>
      </c>
      <c r="D12" s="6" t="inlineStr"/>
    </row>
    <row r="14" ht="18" customHeight="1">
      <c r="A14" s="2" t="inlineStr">
        <is>
          <t>B. Grid-Tied vs Blackout Comparison</t>
        </is>
      </c>
    </row>
    <row r="15">
      <c r="A15" s="3" t="inlineStr">
        <is>
          <t>Parameter</t>
        </is>
      </c>
      <c r="B15" s="3" t="inlineStr">
        <is>
          <t>Value</t>
        </is>
      </c>
      <c r="C15" s="3" t="inlineStr">
        <is>
          <t>Unit</t>
        </is>
      </c>
      <c r="D15" s="3" t="inlineStr">
        <is>
          <t>Notes</t>
        </is>
      </c>
    </row>
    <row r="16">
      <c r="A16" s="20" t="inlineStr">
        <is>
          <t>Grid-tied weighted avg (Year 1)</t>
        </is>
      </c>
      <c r="B16" s="13" t="inlineStr">
        <is>
          <t>92.36%</t>
        </is>
      </c>
      <c r="C16" s="7" t="inlineStr"/>
      <c r="D16" s="6" t="inlineStr">
        <is>
          <t>Weighted by AC output over all GT hours</t>
        </is>
      </c>
    </row>
    <row r="17">
      <c r="A17" s="22" t="inlineStr">
        <is>
          <t>Blackout fixed efficiency</t>
        </is>
      </c>
      <c r="B17" s="24" t="inlineStr">
        <is>
          <t>91.39%</t>
        </is>
      </c>
      <c r="C17" s="23" t="inlineStr"/>
      <c r="D17" s="25" t="inlineStr">
        <is>
          <t>At 88.8% of PDC0</t>
        </is>
      </c>
    </row>
    <row r="18">
      <c r="A18" s="20" t="inlineStr">
        <is>
          <t>Peak efficiency</t>
        </is>
      </c>
      <c r="B18" s="13" t="inlineStr">
        <is>
          <t>94.80%</t>
        </is>
      </c>
      <c r="C18" s="7" t="inlineStr"/>
      <c r="D18" s="6" t="inlineStr">
        <is>
          <t>At 27.5% load</t>
        </is>
      </c>
    </row>
    <row r="19">
      <c r="A19" s="26" t="inlineStr">
        <is>
          <t>Difference (GT − blackout)</t>
        </is>
      </c>
      <c r="B19" s="12" t="inlineStr">
        <is>
          <t>0.96</t>
        </is>
      </c>
      <c r="C19" s="5" t="inlineStr">
        <is>
          <t>pp</t>
        </is>
      </c>
      <c r="D19" s="4" t="inlineStr"/>
    </row>
    <row r="21" ht="18" customHeight="1">
      <c r="A21" s="2" t="inlineStr">
        <is>
          <t>C. Explanation</t>
        </is>
      </c>
    </row>
    <row r="22" ht="110" customHeight="1">
      <c r="A22" s="27" t="inlineStr">
        <is>
          <t>GRID-TIED (avg 92.4%): PV operates at variable power. Tampa's solar distribution means the array frequently runs at 10–50% of rated output, near the peak-efficiency region. Output-weighted average efficiency is therefore close to the partial-load optimum.
BLACKOUT (fixed 91.4%): The inverter always supplies exactly 6 kW — 88.8% of rated output. Above the ~27.5% peak-efficiency point, I²R losses in switches and magnetics rise quadratically with current, reducing efficiency. This is why 88.8% load gives LOWER efficiency than the grid-tied weighted average, which includes many lighter-load hours.</t>
        </is>
      </c>
    </row>
  </sheetData>
  <mergeCells count="5">
    <mergeCell ref="A1:D1"/>
    <mergeCell ref="A22:D22"/>
    <mergeCell ref="A3:D3"/>
    <mergeCell ref="A21:D2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34" customWidth="1" min="4" max="4"/>
  </cols>
  <sheetData>
    <row r="1" ht="24" customHeight="1">
      <c r="A1" s="1" t="inlineStr">
        <is>
          <t>Q9 – Charging &amp; Discharging Currents | 2S×8P | 51.2V / 1,600Ah</t>
        </is>
      </c>
    </row>
    <row r="3" ht="18" customHeight="1">
      <c r="A3" s="2" t="inlineStr">
        <is>
          <t>A. Maximum Discharge Current</t>
        </is>
      </c>
    </row>
    <row r="4">
      <c r="A4" s="3" t="inlineStr">
        <is>
          <t>Parameter</t>
        </is>
      </c>
      <c r="B4" s="3" t="inlineStr">
        <is>
          <t>Formula</t>
        </is>
      </c>
      <c r="C4" s="3" t="inlineStr">
        <is>
          <t>Result</t>
        </is>
      </c>
      <c r="D4" s="3" t="inlineStr">
        <is>
          <t>Notes</t>
        </is>
      </c>
    </row>
    <row r="5">
      <c r="A5" s="4" t="inlineStr">
        <is>
          <t>DC bus voltage</t>
        </is>
      </c>
      <c r="B5" s="5" t="inlineStr">
        <is>
          <t>2 × 25.6V</t>
        </is>
      </c>
      <c r="C5" s="5" t="inlineStr">
        <is>
          <t>51.2 V</t>
        </is>
      </c>
      <c r="D5" s="4" t="inlineStr"/>
    </row>
    <row r="6">
      <c r="A6" s="6" t="inlineStr">
        <is>
          <t>Critical AC load</t>
        </is>
      </c>
      <c r="B6" s="7" t="inlineStr">
        <is>
          <t>Given</t>
        </is>
      </c>
      <c r="C6" s="7" t="inlineStr">
        <is>
          <t>6.0 kW</t>
        </is>
      </c>
      <c r="D6" s="6" t="inlineStr"/>
    </row>
    <row r="7">
      <c r="A7" s="4" t="inlineStr">
        <is>
          <t>Blackout inverter efficiency</t>
        </is>
      </c>
      <c r="B7" s="5" t="inlineStr">
        <is>
          <t>From curve at 88.8% load</t>
        </is>
      </c>
      <c r="C7" s="5" t="inlineStr">
        <is>
          <t>91.3931%</t>
        </is>
      </c>
      <c r="D7" s="4" t="inlineStr"/>
    </row>
    <row r="8">
      <c r="A8" s="6" t="inlineStr">
        <is>
          <t>DC power from battery</t>
        </is>
      </c>
      <c r="B8" s="7">
        <f> 6.0 ÷ 0.9139</f>
        <v/>
      </c>
      <c r="C8" s="7" t="inlineStr">
        <is>
          <t>6.5650 kW</t>
        </is>
      </c>
      <c r="D8" s="6" t="inlineStr"/>
    </row>
    <row r="9">
      <c r="A9" s="22" t="inlineStr">
        <is>
          <t>MAX DISCHARGE CURRENT</t>
        </is>
      </c>
      <c r="B9" s="23">
        <f> 6.5650 kW ÷ 51.2V</f>
        <v/>
      </c>
      <c r="C9" s="24" t="inlineStr">
        <is>
          <t>128.22 A</t>
        </is>
      </c>
      <c r="D9" s="25" t="inlineStr"/>
    </row>
    <row r="10">
      <c r="A10" s="6" t="inlineStr">
        <is>
          <t>Bank capacity</t>
        </is>
      </c>
      <c r="B10" s="7" t="inlineStr">
        <is>
          <t>8P × 200Ah</t>
        </is>
      </c>
      <c r="C10" s="7" t="inlineStr">
        <is>
          <t>1,600 Ah</t>
        </is>
      </c>
      <c r="D10" s="6" t="inlineStr"/>
    </row>
    <row r="11">
      <c r="A11" s="4" t="inlineStr">
        <is>
          <t>Discharge C-rate</t>
        </is>
      </c>
      <c r="B11" s="5">
        <f> 128.22 ÷ 1600</f>
        <v/>
      </c>
      <c r="C11" s="5" t="inlineStr">
        <is>
          <t>0.0801 C</t>
        </is>
      </c>
      <c r="D11" s="4" t="inlineStr">
        <is>
          <t>Very gentle</t>
        </is>
      </c>
    </row>
    <row r="12">
      <c r="A12" s="6" t="inlineStr">
        <is>
          <t>Bank rated max</t>
        </is>
      </c>
      <c r="B12" s="7" t="inlineStr">
        <is>
          <t>8P × 200A/unit</t>
        </is>
      </c>
      <c r="C12" s="7" t="inlineStr">
        <is>
          <t>1,600 A</t>
        </is>
      </c>
      <c r="D12" s="6" t="inlineStr"/>
    </row>
    <row r="13">
      <c r="A13" s="4" t="inlineStr">
        <is>
          <t>Safety margin</t>
        </is>
      </c>
      <c r="B13" s="5">
        <f> 1600 ÷ 128.22</f>
        <v/>
      </c>
      <c r="C13" s="5" t="inlineStr">
        <is>
          <t>12.5×</t>
        </is>
      </c>
      <c r="D13" s="4" t="inlineStr">
        <is>
          <t>Well within limits</t>
        </is>
      </c>
    </row>
    <row r="15" ht="18" customHeight="1">
      <c r="A15" s="2" t="inlineStr">
        <is>
          <t>B. Charging Currents (CORRECTED wording)</t>
        </is>
      </c>
    </row>
    <row r="16">
      <c r="A16" s="3" t="inlineStr">
        <is>
          <t>Parameter</t>
        </is>
      </c>
      <c r="B16" s="3" t="inlineStr">
        <is>
          <t>Formula</t>
        </is>
      </c>
      <c r="C16" s="3" t="inlineStr">
        <is>
          <t>Result</t>
        </is>
      </c>
      <c r="D16" s="3" t="inlineStr">
        <is>
          <t>Notes</t>
        </is>
      </c>
    </row>
    <row r="17">
      <c r="A17" s="4" t="inlineStr">
        <is>
          <t>Peak PV DC power (both slopes)</t>
        </is>
      </c>
      <c r="B17" s="5" t="inlineStr">
        <is>
          <t>From TMY weather simulation</t>
        </is>
      </c>
      <c r="C17" s="5" t="inlineStr">
        <is>
          <t>9.7973 kW</t>
        </is>
      </c>
      <c r="D17" s="4" t="inlineStr"/>
    </row>
    <row r="18">
      <c r="A18" s="6" t="inlineStr">
        <is>
          <t>After CC efficiency (2×MPPT100-600)</t>
        </is>
      </c>
      <c r="B18" s="7" t="inlineStr">
        <is>
          <t>× 0.95</t>
        </is>
      </c>
      <c r="C18" s="7" t="inlineStr">
        <is>
          <t>9.3074 kW</t>
        </is>
      </c>
      <c r="D18" s="6" t="inlineStr"/>
    </row>
    <row r="19">
      <c r="A19" s="14" t="inlineStr">
        <is>
          <t>MAX PV-DRIVEN CHARGING CURRENT</t>
        </is>
      </c>
      <c r="B19" s="15">
        <f> 9.3074 kW ÷ 51.2V</f>
        <v/>
      </c>
      <c r="C19" s="9" t="inlineStr">
        <is>
          <t>181.79 A</t>
        </is>
      </c>
      <c r="D19" s="16" t="inlineStr">
        <is>
          <t>CORRECTED: actual PV-driven peak</t>
        </is>
      </c>
    </row>
    <row r="20">
      <c r="A20" s="6" t="inlineStr">
        <is>
          <t>MPPT 100-600 rated max output</t>
        </is>
      </c>
      <c r="B20" s="7" t="inlineStr">
        <is>
          <t>2 × 100A rated</t>
        </is>
      </c>
      <c r="C20" s="7" t="inlineStr">
        <is>
          <t>200 A</t>
        </is>
      </c>
      <c r="D20" s="6" t="inlineStr">
        <is>
          <t>Controller ceiling (not reached by PV)</t>
        </is>
      </c>
    </row>
    <row r="21">
      <c r="A21" s="14" t="inlineStr">
        <is>
          <t>Governing max charging current</t>
        </is>
      </c>
      <c r="B21" s="15" t="inlineStr">
        <is>
          <t>min(PV-driven, CC rated)</t>
        </is>
      </c>
      <c r="C21" s="9" t="inlineStr">
        <is>
          <t>181.79 A</t>
        </is>
      </c>
      <c r="D21" s="16" t="inlineStr">
        <is>
          <t>PV limits; CC not the bottleneck</t>
        </is>
      </c>
    </row>
    <row r="22">
      <c r="A22" s="6" t="inlineStr">
        <is>
          <t>Charge C-rate at 181.8A</t>
        </is>
      </c>
      <c r="B22" s="7">
        <f> 181.79 ÷ 1600</f>
        <v/>
      </c>
      <c r="C22" s="7" t="inlineStr">
        <is>
          <t>0.1136 C</t>
        </is>
      </c>
      <c r="D22" s="6" t="inlineStr">
        <is>
          <t>Extremely safe</t>
        </is>
      </c>
    </row>
    <row r="23">
      <c r="A23" s="4" t="inlineStr">
        <is>
          <t>LFP max rated (≤1C)</t>
        </is>
      </c>
      <c r="B23" s="5" t="inlineStr">
        <is>
          <t>1 × 1600Ah</t>
        </is>
      </c>
      <c r="C23" s="5" t="inlineStr">
        <is>
          <t>1,600 A max</t>
        </is>
      </c>
      <c r="D23" s="4" t="inlineStr">
        <is>
          <t>We use 11.4% of max</t>
        </is>
      </c>
    </row>
    <row r="25" ht="100" customHeight="1">
      <c r="A25" s="27" t="inlineStr">
        <is>
          <t>DISCHARGE: Max 128.2A is 0.080C on a 1,600Ah bank — 12.5× below the rated 1,600A. Reliable critical load supply with massive headroom.
CHARGE: The two MPPT 100-600 controllers are each rated to 100A output (200A combined), but the actual PV production never drives charging above 181.8A at the 51.2V bus. The PV array — not the controller rating — is the governing limit. At 181.8A the C-rate is 0.114C, well within LFP safe-charge limits, preserving the full 2,500-cycle life rating.</t>
        </is>
      </c>
    </row>
  </sheetData>
  <mergeCells count="4">
    <mergeCell ref="A1:D1"/>
    <mergeCell ref="A25:D25"/>
    <mergeCell ref="A3:D3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 ht="24" customHeight="1">
      <c r="A1" s="1" t="inlineStr">
        <is>
          <t>Q10 – 3-Year Battery SoC Simulation | Blackout timing: h&gt;=20 Thu / h&lt;4 Fri (20:00–04:00) | Inverter losses included</t>
        </is>
      </c>
    </row>
    <row r="3" ht="18" customHeight="1">
      <c r="A3" s="2" t="inlineStr">
        <is>
          <t>A. Annual Summary</t>
        </is>
      </c>
    </row>
    <row r="4">
      <c r="A4" s="3" t="inlineStr">
        <is>
          <t>Parameter</t>
        </is>
      </c>
      <c r="B4" s="3" t="inlineStr">
        <is>
          <t>Representative Year 1</t>
        </is>
      </c>
      <c r="C4" s="3" t="inlineStr">
        <is>
          <t>Representative Year 2</t>
        </is>
      </c>
      <c r="D4" s="3" t="inlineStr">
        <is>
          <t>Representative Year 3</t>
        </is>
      </c>
      <c r="E4" s="3" t="inlineStr">
        <is>
          <t>Notes</t>
        </is>
      </c>
    </row>
    <row r="5" ht="16" customHeight="1">
      <c r="A5" s="4" t="inlineStr">
        <is>
          <t>Nominal capacity (kWh)</t>
        </is>
      </c>
      <c r="B5" s="5" t="inlineStr">
        <is>
          <t>81.920</t>
        </is>
      </c>
      <c r="C5" s="5" t="inlineStr">
        <is>
          <t>81.068</t>
        </is>
      </c>
      <c r="D5" s="5" t="inlineStr">
        <is>
          <t>80.216</t>
        </is>
      </c>
      <c r="E5" s="4" t="inlineStr">
        <is>
          <t>0.02% per cycle degradation</t>
        </is>
      </c>
    </row>
    <row r="6" ht="16" customHeight="1">
      <c r="A6" s="6" t="inlineStr">
        <is>
          <t>Degradation (%)</t>
        </is>
      </c>
      <c r="B6" s="7" t="inlineStr">
        <is>
          <t>0.000%</t>
        </is>
      </c>
      <c r="C6" s="7" t="inlineStr">
        <is>
          <t>1.040%</t>
        </is>
      </c>
      <c r="D6" s="7" t="inlineStr">
        <is>
          <t>2.080%</t>
        </is>
      </c>
      <c r="E6" s="6" t="inlineStr">
        <is>
          <t>Cumulative from start of each year</t>
        </is>
      </c>
    </row>
    <row r="7" ht="16" customHeight="1">
      <c r="A7" s="4" t="inlineStr">
        <is>
          <t>Usable Interp A (80%×nom, kWh)</t>
        </is>
      </c>
      <c r="B7" s="5" t="inlineStr">
        <is>
          <t>65.536</t>
        </is>
      </c>
      <c r="C7" s="5" t="inlineStr">
        <is>
          <t>64.854</t>
        </is>
      </c>
      <c r="D7" s="5" t="inlineStr">
        <is>
          <t>64.173</t>
        </is>
      </c>
      <c r="E7" s="4" t="inlineStr">
        <is>
          <t>Floor=15% SoC</t>
        </is>
      </c>
    </row>
    <row r="8" ht="16" customHeight="1">
      <c r="A8" s="6" t="inlineStr">
        <is>
          <t>Usable Interp B (75%×nom, kWh)</t>
        </is>
      </c>
      <c r="B8" s="7" t="inlineStr">
        <is>
          <t>61.440</t>
        </is>
      </c>
      <c r="C8" s="7" t="inlineStr">
        <is>
          <t>60.801</t>
        </is>
      </c>
      <c r="D8" s="7" t="inlineStr">
        <is>
          <t>60.162</t>
        </is>
      </c>
      <c r="E8" s="6" t="inlineStr">
        <is>
          <t>Floor=20% SoC</t>
        </is>
      </c>
    </row>
    <row r="9" ht="16" customHeight="1">
      <c r="A9" s="4" t="inlineStr">
        <is>
          <t>DC demand per event (kWh)</t>
        </is>
      </c>
      <c r="B9" s="5" t="inlineStr">
        <is>
          <t>52.520</t>
        </is>
      </c>
      <c r="C9" s="5" t="inlineStr">
        <is>
          <t>52.520</t>
        </is>
      </c>
      <c r="D9" s="5" t="inlineStr">
        <is>
          <t>52.520</t>
        </is>
      </c>
      <c r="E9" s="4" t="inlineStr">
        <is>
          <t>48 kWh AC ÷ 91.39%</t>
        </is>
      </c>
    </row>
    <row r="10" ht="16" customHeight="1">
      <c r="A10" s="25" t="inlineStr">
        <is>
          <t>Margin A (kWh)</t>
        </is>
      </c>
      <c r="B10" s="23" t="inlineStr">
        <is>
          <t>13.016</t>
        </is>
      </c>
      <c r="C10" s="23" t="inlineStr">
        <is>
          <t>12.334</t>
        </is>
      </c>
      <c r="D10" s="23" t="inlineStr">
        <is>
          <t>11.652</t>
        </is>
      </c>
      <c r="E10" s="25" t="inlineStr"/>
    </row>
    <row r="11" ht="16" customHeight="1">
      <c r="A11" s="25" t="inlineStr">
        <is>
          <t>Margin B (kWh)</t>
        </is>
      </c>
      <c r="B11" s="23" t="inlineStr">
        <is>
          <t>8.920</t>
        </is>
      </c>
      <c r="C11" s="23" t="inlineStr">
        <is>
          <t>8.281</t>
        </is>
      </c>
      <c r="D11" s="23" t="inlineStr">
        <is>
          <t>7.642</t>
        </is>
      </c>
      <c r="E11" s="25" t="inlineStr"/>
    </row>
    <row r="12" ht="20" customHeight="1">
      <c r="A12" s="25" t="inlineStr">
        <is>
          <t>Starting SoC (%)</t>
        </is>
      </c>
      <c r="B12" s="23" t="inlineStr">
        <is>
          <t>95.00%</t>
        </is>
      </c>
      <c r="C12" s="23" t="inlineStr">
        <is>
          <t>96.00%</t>
        </is>
      </c>
      <c r="D12" s="23" t="inlineStr">
        <is>
          <t>96.01%</t>
        </is>
      </c>
      <c r="E12" s="25" t="inlineStr">
        <is>
          <t>Year 1 starts at 95%; Years 2 and 3 follow from the previous simulated end state.</t>
        </is>
      </c>
    </row>
    <row r="13" ht="16" customHeight="1">
      <c r="A13" s="4" t="inlineStr">
        <is>
          <t>End-of-year SoC (%)</t>
        </is>
      </c>
      <c r="B13" s="5" t="inlineStr">
        <is>
          <t>95.00%</t>
        </is>
      </c>
      <c r="C13" s="5" t="inlineStr">
        <is>
          <t>95.00%</t>
        </is>
      </c>
      <c r="D13" s="5" t="inlineStr">
        <is>
          <t>95.00%</t>
        </is>
      </c>
      <c r="E13" s="4" t="inlineStr">
        <is>
          <t>Taken from the rolling hourly SoC simulation.</t>
        </is>
      </c>
    </row>
    <row r="14" ht="16" customHeight="1">
      <c r="A14" s="6" t="inlineStr">
        <is>
          <t>Actual min SoC during blackouts</t>
        </is>
      </c>
      <c r="B14" s="7" t="inlineStr">
        <is>
          <t>30.89%</t>
        </is>
      </c>
      <c r="C14" s="7" t="inlineStr">
        <is>
          <t>30.21%</t>
        </is>
      </c>
      <c r="D14" s="7" t="inlineStr">
        <is>
          <t>29.53%</t>
        </is>
      </c>
      <c r="E14" s="6" t="inlineStr">
        <is>
          <t>Minimum SoC taken directly from the hourly SoC simulation.</t>
        </is>
      </c>
    </row>
    <row r="15" ht="16" customHeight="1">
      <c r="A15" s="14" t="inlineStr">
        <is>
          <t>ALL BLACKOUTS COVERED?</t>
        </is>
      </c>
      <c r="B15" s="9" t="inlineStr">
        <is>
          <t>✓ YES</t>
        </is>
      </c>
      <c r="C15" s="9" t="inlineStr">
        <is>
          <t>✓ YES</t>
        </is>
      </c>
      <c r="D15" s="9" t="inlineStr">
        <is>
          <t>✓ YES</t>
        </is>
      </c>
      <c r="E15" s="16" t="inlineStr">
        <is>
          <t>Checked directly from hourly SoC values against the 20% SoC floor.</t>
        </is>
      </c>
    </row>
    <row r="16" ht="16" customHeight="1">
      <c r="A16" s="6" t="inlineStr">
        <is>
          <t>Annual GT yield (kWh)</t>
        </is>
      </c>
      <c r="B16" s="7" t="inlineStr">
        <is>
          <t>10380</t>
        </is>
      </c>
      <c r="C16" s="7" t="inlineStr">
        <is>
          <t>10380</t>
        </is>
      </c>
      <c r="D16" s="7" t="inlineStr">
        <is>
          <t>10380</t>
        </is>
      </c>
      <c r="E16" s="6" t="inlineStr"/>
    </row>
    <row r="18" ht="18" customHeight="1">
      <c r="A18" s="2" t="inlineStr">
        <is>
          <t>B. Final SoC After 3 Years – Direct Q10 Answer</t>
        </is>
      </c>
    </row>
    <row r="19">
      <c r="A19" s="3" t="inlineStr">
        <is>
          <t>Parameter</t>
        </is>
      </c>
      <c r="B19" s="3" t="inlineStr">
        <is>
          <t>Value</t>
        </is>
      </c>
      <c r="D19" s="3" t="inlineStr">
        <is>
          <t>Unit</t>
        </is>
      </c>
      <c r="E19" s="3" t="inlineStr">
        <is>
          <t>Notes</t>
        </is>
      </c>
    </row>
    <row r="20">
      <c r="A20" s="6" t="inlineStr">
        <is>
          <t>Total cycles</t>
        </is>
      </c>
      <c r="B20" s="7" t="inlineStr">
        <is>
          <t>52×3 = 156 representative cycles</t>
        </is>
      </c>
      <c r="D20" s="7" t="inlineStr">
        <is>
          <t>cycles</t>
        </is>
      </c>
      <c r="E20" s="6" t="inlineStr">
        <is>
          <t>Calculated from blackout mask: blackout hours ÷ 8 h/event.</t>
        </is>
      </c>
    </row>
    <row r="21">
      <c r="A21" s="4" t="inlineStr">
        <is>
          <t>Total degradation</t>
        </is>
      </c>
      <c r="B21" s="5" t="inlineStr">
        <is>
          <t>156×0.02% = 3.12%</t>
        </is>
      </c>
      <c r="D21" s="5" t="inlineStr"/>
      <c r="E21" s="4" t="inlineStr">
        <is>
          <t>Conservative: one blackout event is counted as one cycle.</t>
        </is>
      </c>
    </row>
    <row r="22">
      <c r="A22" s="6" t="inlineStr">
        <is>
          <t>Final nominal capacity</t>
        </is>
      </c>
      <c r="B22" s="7" t="inlineStr">
        <is>
          <t>79.364</t>
        </is>
      </c>
      <c r="D22" s="7" t="inlineStr">
        <is>
          <t>kWh</t>
        </is>
      </c>
      <c r="E22" s="6">
        <f>84.48×(1−0.0312)</f>
        <v/>
      </c>
    </row>
    <row r="23">
      <c r="A23" s="14" t="inlineStr">
        <is>
          <t>FINAL SoC AFTER 3 YEARS</t>
        </is>
      </c>
      <c r="B23" s="9" t="inlineStr">
        <is>
          <t>95.00%</t>
        </is>
      </c>
      <c r="D23" s="15" t="inlineStr"/>
      <c r="E23" s="16" t="inlineStr">
        <is>
          <t>End of Year 3 after recharge to the 95% SoC operating target</t>
        </is>
      </c>
    </row>
    <row r="24">
      <c r="A24" s="6" t="inlineStr">
        <is>
          <t>Final usable Interp A (80%)</t>
        </is>
      </c>
      <c r="B24" s="7" t="inlineStr">
        <is>
          <t>63.491</t>
        </is>
      </c>
      <c r="D24" s="7" t="inlineStr">
        <is>
          <t>kWh</t>
        </is>
      </c>
      <c r="E24" s="6" t="inlineStr">
        <is>
          <t>&gt;52.520 kWh needed ✓</t>
        </is>
      </c>
    </row>
    <row r="25">
      <c r="A25" s="4" t="inlineStr">
        <is>
          <t>Final usable Interp B (75%)</t>
        </is>
      </c>
      <c r="B25" s="5" t="inlineStr">
        <is>
          <t>59.523</t>
        </is>
      </c>
      <c r="D25" s="5" t="inlineStr">
        <is>
          <t>kWh</t>
        </is>
      </c>
      <c r="E25" s="4" t="inlineStr">
        <is>
          <t>&gt;52.520 kWh needed ✓</t>
        </is>
      </c>
    </row>
    <row r="26">
      <c r="A26" s="6" t="inlineStr">
        <is>
          <t>Final worst-case post-blackout SoC</t>
        </is>
      </c>
      <c r="B26" s="7" t="inlineStr">
        <is>
          <t>28.82%</t>
        </is>
      </c>
      <c r="D26" s="7" t="inlineStr"/>
      <c r="E26" s="6" t="inlineStr">
        <is>
          <t>Computed using final degraded capacity and simulated final SoC.</t>
        </is>
      </c>
    </row>
    <row r="27" ht="18" customHeight="1">
      <c r="A27" s="2" t="inlineStr">
        <is>
          <t>C. Monthly SoC Stats Year 1 (SoC %)</t>
        </is>
      </c>
    </row>
    <row r="28">
      <c r="A28" s="3" t="inlineStr">
        <is>
          <t>Month</t>
        </is>
      </c>
      <c r="B28" s="3" t="inlineStr">
        <is>
          <t>Min SoC</t>
        </is>
      </c>
      <c r="C28" s="3" t="inlineStr">
        <is>
          <t>Max SoC</t>
        </is>
      </c>
      <c r="D28" s="3" t="inlineStr">
        <is>
          <t>Mean SoC</t>
        </is>
      </c>
      <c r="E28" s="3" t="inlineStr">
        <is>
          <t>Notes</t>
        </is>
      </c>
    </row>
    <row r="29">
      <c r="A29" s="12" t="inlineStr">
        <is>
          <t>Jan</t>
        </is>
      </c>
      <c r="B29" s="5" t="n">
        <v>30.89</v>
      </c>
      <c r="C29" s="5" t="n">
        <v>95</v>
      </c>
      <c r="D29" s="5" t="n">
        <v>81.81</v>
      </c>
      <c r="E29" s="4" t="inlineStr">
        <is>
          <t>Post-blackout recharge visible</t>
        </is>
      </c>
    </row>
    <row r="30">
      <c r="A30" s="13" t="inlineStr">
        <is>
          <t>Feb</t>
        </is>
      </c>
      <c r="B30" s="7" t="n">
        <v>30.89</v>
      </c>
      <c r="C30" s="7" t="n">
        <v>95</v>
      </c>
      <c r="D30" s="7" t="n">
        <v>84.70999999999999</v>
      </c>
      <c r="E30" s="6" t="inlineStr">
        <is>
          <t>Post-blackout recharge visible</t>
        </is>
      </c>
    </row>
    <row r="31">
      <c r="A31" s="12" t="inlineStr">
        <is>
          <t>Mar</t>
        </is>
      </c>
      <c r="B31" s="5" t="n">
        <v>30.89</v>
      </c>
      <c r="C31" s="5" t="n">
        <v>95</v>
      </c>
      <c r="D31" s="5" t="n">
        <v>86.90000000000001</v>
      </c>
      <c r="E31" s="4" t="inlineStr">
        <is>
          <t>Post-blackout recharge visible</t>
        </is>
      </c>
    </row>
    <row r="32">
      <c r="A32" s="13" t="inlineStr">
        <is>
          <t>Apr</t>
        </is>
      </c>
      <c r="B32" s="7" t="n">
        <v>30.89</v>
      </c>
      <c r="C32" s="7" t="n">
        <v>95</v>
      </c>
      <c r="D32" s="7" t="n">
        <v>88.15000000000001</v>
      </c>
      <c r="E32" s="6" t="inlineStr">
        <is>
          <t>Post-blackout recharge visible</t>
        </is>
      </c>
    </row>
    <row r="33">
      <c r="A33" s="12" t="inlineStr">
        <is>
          <t>May</t>
        </is>
      </c>
      <c r="B33" s="5" t="n">
        <v>30.89</v>
      </c>
      <c r="C33" s="5" t="n">
        <v>95</v>
      </c>
      <c r="D33" s="5" t="n">
        <v>88.55</v>
      </c>
      <c r="E33" s="4" t="inlineStr">
        <is>
          <t>Post-blackout recharge visible</t>
        </is>
      </c>
    </row>
    <row r="34">
      <c r="A34" s="13" t="inlineStr">
        <is>
          <t>Jun</t>
        </is>
      </c>
      <c r="B34" s="7" t="n">
        <v>30.89</v>
      </c>
      <c r="C34" s="7" t="n">
        <v>95</v>
      </c>
      <c r="D34" s="7" t="n">
        <v>89.73</v>
      </c>
      <c r="E34" s="6" t="inlineStr">
        <is>
          <t>Post-blackout recharge visible</t>
        </is>
      </c>
    </row>
    <row r="35">
      <c r="A35" s="12" t="inlineStr">
        <is>
          <t>Jul</t>
        </is>
      </c>
      <c r="B35" s="5" t="n">
        <v>30.89</v>
      </c>
      <c r="C35" s="5" t="n">
        <v>95</v>
      </c>
      <c r="D35" s="5" t="n">
        <v>88.29000000000001</v>
      </c>
      <c r="E35" s="4" t="inlineStr">
        <is>
          <t>Post-blackout recharge visible</t>
        </is>
      </c>
    </row>
    <row r="36">
      <c r="A36" s="13" t="inlineStr">
        <is>
          <t>Aug</t>
        </is>
      </c>
      <c r="B36" s="7" t="n">
        <v>30.89</v>
      </c>
      <c r="C36" s="7" t="n">
        <v>95</v>
      </c>
      <c r="D36" s="7" t="n">
        <v>88.79000000000001</v>
      </c>
      <c r="E36" s="6" t="inlineStr">
        <is>
          <t>Post-blackout recharge visible</t>
        </is>
      </c>
    </row>
    <row r="37">
      <c r="A37" s="12" t="inlineStr">
        <is>
          <t>Sep</t>
        </is>
      </c>
      <c r="B37" s="5" t="n">
        <v>30.89</v>
      </c>
      <c r="C37" s="5" t="n">
        <v>95</v>
      </c>
      <c r="D37" s="5" t="n">
        <v>87.94</v>
      </c>
      <c r="E37" s="4" t="inlineStr">
        <is>
          <t>Post-blackout recharge visible</t>
        </is>
      </c>
    </row>
    <row r="38">
      <c r="A38" s="13" t="inlineStr">
        <is>
          <t>Oct</t>
        </is>
      </c>
      <c r="B38" s="7" t="n">
        <v>30.89</v>
      </c>
      <c r="C38" s="7" t="n">
        <v>95</v>
      </c>
      <c r="D38" s="7" t="n">
        <v>85.70999999999999</v>
      </c>
      <c r="E38" s="6" t="inlineStr">
        <is>
          <t>Post-blackout recharge visible</t>
        </is>
      </c>
    </row>
    <row r="39">
      <c r="A39" s="12" t="inlineStr">
        <is>
          <t>Nov</t>
        </is>
      </c>
      <c r="B39" s="5" t="n">
        <v>30.89</v>
      </c>
      <c r="C39" s="5" t="n">
        <v>95</v>
      </c>
      <c r="D39" s="5" t="n">
        <v>83.83</v>
      </c>
      <c r="E39" s="4" t="inlineStr">
        <is>
          <t>Post-blackout recharge visible</t>
        </is>
      </c>
    </row>
    <row r="40">
      <c r="A40" s="13" t="inlineStr">
        <is>
          <t>Dec</t>
        </is>
      </c>
      <c r="B40" s="7" t="n">
        <v>30.89</v>
      </c>
      <c r="C40" s="7" t="n">
        <v>95</v>
      </c>
      <c r="D40" s="7" t="n">
        <v>82.25</v>
      </c>
      <c r="E40" s="6" t="inlineStr">
        <is>
          <t>Post-blackout recharge visible</t>
        </is>
      </c>
    </row>
  </sheetData>
  <mergeCells count="12">
    <mergeCell ref="B21:C21"/>
    <mergeCell ref="B24:C24"/>
    <mergeCell ref="B25:C25"/>
    <mergeCell ref="B19:C19"/>
    <mergeCell ref="B20:C20"/>
    <mergeCell ref="B23:C23"/>
    <mergeCell ref="B22:C22"/>
    <mergeCell ref="A1:E1"/>
    <mergeCell ref="B26:C26"/>
    <mergeCell ref="A18:E18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36" customWidth="1" min="4" max="4"/>
  </cols>
  <sheetData>
    <row r="1" ht="24" customHeight="1">
      <c r="A1" s="1" t="inlineStr">
        <is>
          <t>Q11 – Life Cycle Assessment | Tampa PV System | Group 20</t>
        </is>
      </c>
    </row>
    <row r="2" ht="16" customHeight="1">
      <c r="A2" s="2" t="inlineStr">
        <is>
          <t>Grid carbon intensity used: 0.384 kg CO₂/kWh from the assignment-specified Our World in Data website</t>
        </is>
      </c>
    </row>
    <row r="4" ht="18" customHeight="1">
      <c r="A4" s="2" t="inlineStr">
        <is>
          <t>A. Embodied CO₂ by Component</t>
        </is>
      </c>
    </row>
    <row r="5">
      <c r="A5" s="3" t="inlineStr">
        <is>
          <t>Component</t>
        </is>
      </c>
      <c r="B5" s="3" t="inlineStr">
        <is>
          <t>Quantity × Factor</t>
        </is>
      </c>
      <c r="C5" s="3" t="inlineStr">
        <is>
          <t>CO₂ (kg)</t>
        </is>
      </c>
      <c r="D5" s="3" t="inlineStr">
        <is>
          <t>Reference</t>
        </is>
      </c>
    </row>
    <row r="6" ht="16" customHeight="1">
      <c r="A6" s="20" t="inlineStr">
        <is>
          <t>AIKO 490W modules (24 units, 11.76 kWp)</t>
        </is>
      </c>
      <c r="B6" s="7" t="inlineStr">
        <is>
          <t>11.76×600</t>
        </is>
      </c>
      <c r="C6" s="13" t="n">
        <v>7056</v>
      </c>
      <c r="D6" s="6" t="inlineStr">
        <is>
          <t>Frischknecht et al. 2015 – N-type mono ≈600 kg/kWp</t>
        </is>
      </c>
    </row>
    <row r="7" ht="16" customHeight="1">
      <c r="A7" s="26" t="inlineStr">
        <is>
          <t>Victron LFP 12.8V/330Ah (20 units, 84.48 kWh)</t>
        </is>
      </c>
      <c r="B7" s="5" t="inlineStr">
        <is>
          <t>84.48×75</t>
        </is>
      </c>
      <c r="C7" s="12" t="n">
        <v>6336</v>
      </c>
      <c r="D7" s="4" t="inlineStr">
        <is>
          <t>Emilsson &amp; Dahllöf 2019; Peters et al. 2017 – LFP 65–90 kg/kWh</t>
        </is>
      </c>
    </row>
    <row r="8" ht="16" customHeight="1">
      <c r="A8" s="20" t="inlineStr">
        <is>
          <t>XW Pro 6848 hybrid inverter (1 unit)</t>
        </is>
      </c>
      <c r="B8" s="7" t="inlineStr">
        <is>
          <t>1×150</t>
        </is>
      </c>
      <c r="C8" s="13" t="n">
        <v>150</v>
      </c>
      <c r="D8" s="6" t="inlineStr">
        <is>
          <t>IEA-PVPS Task 12 (2015)</t>
        </is>
      </c>
    </row>
    <row r="9" ht="16" customHeight="1">
      <c r="A9" s="26" t="inlineStr">
        <is>
          <t>Conext MPPT 100-600 (2 units)</t>
        </is>
      </c>
      <c r="B9" s="5" t="inlineStr">
        <is>
          <t>2×30</t>
        </is>
      </c>
      <c r="C9" s="12" t="n">
        <v>60</v>
      </c>
      <c r="D9" s="4" t="inlineStr">
        <is>
          <t>Proaño et al. 2017</t>
        </is>
      </c>
    </row>
    <row r="10" ht="16" customHeight="1">
      <c r="A10" s="20" t="inlineStr">
        <is>
          <t>Mounting structure (24 panels)</t>
        </is>
      </c>
      <c r="B10" s="7" t="inlineStr">
        <is>
          <t>24×15</t>
        </is>
      </c>
      <c r="C10" s="13" t="n">
        <v>360</v>
      </c>
      <c r="D10" s="6" t="inlineStr">
        <is>
          <t>Alsema et al. 2006 – Al racking</t>
        </is>
      </c>
    </row>
    <row r="11" ht="16" customHeight="1">
      <c r="A11" s="26" t="inlineStr">
        <is>
          <t>DC/AC switchgear (2 units)</t>
        </is>
      </c>
      <c r="B11" s="5" t="inlineStr">
        <is>
          <t>2×20</t>
        </is>
      </c>
      <c r="C11" s="12" t="n">
        <v>40</v>
      </c>
      <c r="D11" s="4" t="inlineStr">
        <is>
          <t>Industry average</t>
        </is>
      </c>
    </row>
    <row r="12" ht="16" customHeight="1">
      <c r="A12" s="20" t="inlineStr">
        <is>
          <t>Cables, racks, accessories</t>
        </is>
      </c>
      <c r="B12" s="7" t="inlineStr">
        <is>
          <t>Lump</t>
        </is>
      </c>
      <c r="C12" s="13" t="n">
        <v>80</v>
      </c>
      <c r="D12" s="6" t="inlineStr">
        <is>
          <t>IEA-PVPS auxiliary</t>
        </is>
      </c>
    </row>
    <row r="13" ht="16" customHeight="1">
      <c r="A13" s="26" t="inlineStr">
        <is>
          <t>Monitoring system (1 unit)</t>
        </is>
      </c>
      <c r="B13" s="5" t="inlineStr">
        <is>
          <t>1×25</t>
        </is>
      </c>
      <c r="C13" s="12" t="n">
        <v>25</v>
      </c>
      <c r="D13" s="4" t="inlineStr">
        <is>
          <t>Electronics estimate</t>
        </is>
      </c>
    </row>
    <row r="14">
      <c r="A14" s="14" t="inlineStr">
        <is>
          <t>TOTAL EMBODIED CO₂</t>
        </is>
      </c>
      <c r="B14" s="15" t="inlineStr">
        <is>
          <t>Sum</t>
        </is>
      </c>
      <c r="C14" s="9" t="n">
        <v>14107</v>
      </c>
      <c r="D14" s="16" t="inlineStr">
        <is>
          <t>kg CO₂eq — Global Warming Potential</t>
        </is>
      </c>
    </row>
    <row r="16" ht="18" customHeight="1">
      <c r="A16" s="2" t="inlineStr">
        <is>
          <t>B. Carbon Payback Time (CORRECTED note)</t>
        </is>
      </c>
    </row>
    <row r="17">
      <c r="A17" s="3" t="inlineStr">
        <is>
          <t>Parameter</t>
        </is>
      </c>
      <c r="B17" s="3" t="inlineStr">
        <is>
          <t>Formula</t>
        </is>
      </c>
      <c r="C17" s="3" t="inlineStr">
        <is>
          <t>Result</t>
        </is>
      </c>
      <c r="D17" s="3" t="inlineStr">
        <is>
          <t>Notes</t>
        </is>
      </c>
    </row>
    <row r="18">
      <c r="A18" s="6" t="inlineStr">
        <is>
          <t>Grid carbon intensity from assignment website</t>
        </is>
      </c>
      <c r="B18" s="7" t="inlineStr">
        <is>
          <t>Given</t>
        </is>
      </c>
      <c r="C18" s="7" t="inlineStr">
        <is>
          <t>0.384 kg CO₂/kWh</t>
        </is>
      </c>
      <c r="D18" s="6" t="inlineStr">
        <is>
          <t>Our World in Data electricity carbon-intensity grapher</t>
        </is>
      </c>
    </row>
    <row r="19">
      <c r="A19" s="4" t="inlineStr">
        <is>
          <t>Annual AC yield used for payback</t>
        </is>
      </c>
      <c r="B19" s="5" t="inlineStr">
        <is>
          <t>10380 kWh</t>
        </is>
      </c>
      <c r="C19" s="5" t="inlineStr">
        <is>
          <t>10380 kWh</t>
        </is>
      </c>
      <c r="D19" s="4" t="inlineStr">
        <is>
          <t>Grid-tied AC yield only; conservative basis consistent with Q2 savings calculation</t>
        </is>
      </c>
    </row>
    <row r="20">
      <c r="A20" s="6" t="inlineStr">
        <is>
          <t>Annual CO₂ savings</t>
        </is>
      </c>
      <c r="B20" s="7">
        <f>10380×0.384</f>
        <v/>
      </c>
      <c r="C20" s="7" t="inlineStr">
        <is>
          <t>3986.0 kg/yr</t>
        </is>
      </c>
      <c r="D20" s="6" t="inlineStr"/>
    </row>
    <row r="21">
      <c r="A21" s="4" t="inlineStr">
        <is>
          <t>Total embodied CO₂</t>
        </is>
      </c>
      <c r="B21" s="5" t="inlineStr">
        <is>
          <t>Sum above</t>
        </is>
      </c>
      <c r="C21" s="5" t="inlineStr">
        <is>
          <t>14107.0 kg</t>
        </is>
      </c>
      <c r="D21" s="4" t="inlineStr">
        <is>
          <t>20-battery bank included</t>
        </is>
      </c>
    </row>
    <row r="22">
      <c r="A22" s="14" t="inlineStr">
        <is>
          <t>CARBON PAYBACK TIME</t>
        </is>
      </c>
      <c r="B22" s="15">
        <f>14107.0 ÷ 3986.0</f>
        <v/>
      </c>
      <c r="C22" s="9" t="inlineStr">
        <is>
          <t>3.54 years</t>
        </is>
      </c>
      <c r="D22" s="16" t="inlineStr">
        <is>
          <t>Grid-tied-only payback basis</t>
        </is>
      </c>
    </row>
    <row r="23">
      <c r="A23" s="14" t="inlineStr">
        <is>
          <t>TOTAL GWP</t>
        </is>
      </c>
      <c r="B23" s="15" t="inlineStr">
        <is>
          <t>14107.0 kg CO₂eq</t>
        </is>
      </c>
      <c r="C23" s="9" t="inlineStr">
        <is>
          <t>At system boundary</t>
        </is>
      </c>
      <c r="D23" s="16" t="inlineStr">
        <is>
          <t>Embodied emissions</t>
        </is>
      </c>
    </row>
    <row r="24">
      <c r="A24" s="6" t="inlineStr">
        <is>
          <t>Net CO₂ benefit (25-yr)</t>
        </is>
      </c>
      <c r="B24" s="7">
        <f>3986.0×25−14107.0</f>
        <v/>
      </c>
      <c r="C24" s="7" t="inlineStr">
        <is>
          <t>85542 kg CO₂</t>
        </is>
      </c>
      <c r="D24" s="6" t="inlineStr">
        <is>
          <t>Avoided over 25-year life</t>
        </is>
      </c>
    </row>
  </sheetData>
  <mergeCells count="4">
    <mergeCell ref="A1:D1"/>
    <mergeCell ref="A16:D16"/>
    <mergeCell ref="A4:D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36" customWidth="1" min="4" max="4"/>
  </cols>
  <sheetData>
    <row r="1" ht="24" customHeight="1">
      <c r="A1" s="1" t="inlineStr">
        <is>
          <t>Q1/Q2/Q3 – Yield, Grid-Tied Savings &amp; Penalty Avoidance | Tampa | Load 3</t>
        </is>
      </c>
    </row>
    <row r="3" ht="18" customHeight="1">
      <c r="A3" s="2" t="inlineStr">
        <is>
          <t>Q1 – Annual AC Electricity Yield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14" t="inlineStr">
        <is>
          <t>Annual GT AC yield – Year 1</t>
        </is>
      </c>
      <c r="B5" s="9" t="n">
        <v>10380.09839323242</v>
      </c>
      <c r="C5" s="15" t="inlineStr">
        <is>
          <t>kWh</t>
        </is>
      </c>
      <c r="D5" s="16" t="inlineStr">
        <is>
          <t>Grid-tied only (SoC=95%)</t>
        </is>
      </c>
    </row>
    <row r="6">
      <c r="A6" s="6" t="inlineStr">
        <is>
          <t>Annual GT AC yield – Year 2</t>
        </is>
      </c>
      <c r="B6" s="7" t="n">
        <v>10380.09839323242</v>
      </c>
      <c r="C6" s="7" t="inlineStr">
        <is>
          <t>kWh</t>
        </is>
      </c>
      <c r="D6" s="6" t="inlineStr">
        <is>
          <t>Same TMY pattern</t>
        </is>
      </c>
    </row>
    <row r="7">
      <c r="A7" s="4" t="inlineStr">
        <is>
          <t>Annual GT AC yield – Year 3</t>
        </is>
      </c>
      <c r="B7" s="5" t="n">
        <v>10380.09839323242</v>
      </c>
      <c r="C7" s="5" t="inlineStr">
        <is>
          <t>kWh</t>
        </is>
      </c>
      <c r="D7" s="4" t="inlineStr"/>
    </row>
    <row r="8">
      <c r="A8" s="6" t="inlineStr">
        <is>
          <t>Annual backup delivered</t>
        </is>
      </c>
      <c r="B8" s="7" t="n">
        <v>2496</v>
      </c>
      <c r="C8" s="7" t="inlineStr">
        <is>
          <t>kWh</t>
        </is>
      </c>
      <c r="D8" s="6" t="inlineStr">
        <is>
          <t>52×8h×6kW – battery, not PV</t>
        </is>
      </c>
    </row>
    <row r="9">
      <c r="A9" s="4" t="inlineStr">
        <is>
          <t>Total AC produced Year 1</t>
        </is>
      </c>
      <c r="B9" s="5" t="n">
        <v>12876.09839323242</v>
      </c>
      <c r="C9" s="5" t="inlineStr">
        <is>
          <t>kWh</t>
        </is>
      </c>
      <c r="D9" s="4" t="inlineStr">
        <is>
          <t>GT + backup</t>
        </is>
      </c>
    </row>
    <row r="10">
      <c r="A10" s="6" t="inlineStr">
        <is>
          <t>Annual PV DC production</t>
        </is>
      </c>
      <c r="B10" s="7" t="n">
        <v>15061.9</v>
      </c>
      <c r="C10" s="7" t="inlineStr">
        <is>
          <t>kWh</t>
        </is>
      </c>
      <c r="D10" s="6" t="inlineStr">
        <is>
          <t>Before CC losses</t>
        </is>
      </c>
    </row>
    <row r="11">
      <c r="A11" s="4" t="inlineStr">
        <is>
          <t>South slope POA</t>
        </is>
      </c>
      <c r="B11" s="5" t="n">
        <v>1519</v>
      </c>
      <c r="C11" s="5" t="inlineStr">
        <is>
          <t>kWh/m²</t>
        </is>
      </c>
      <c r="D11" s="4" t="inlineStr"/>
    </row>
    <row r="12">
      <c r="A12" s="6" t="inlineStr">
        <is>
          <t>North slope POA</t>
        </is>
      </c>
      <c r="B12" s="7" t="n">
        <v>1164</v>
      </c>
      <c r="C12" s="7" t="inlineStr">
        <is>
          <t>kWh/m²</t>
        </is>
      </c>
      <c r="D12" s="6" t="inlineStr"/>
    </row>
    <row r="13">
      <c r="A13" s="25" t="inlineStr">
        <is>
          <t>PR – grid-tied only</t>
        </is>
      </c>
      <c r="B13" s="23" t="n">
        <v>0.658</v>
      </c>
      <c r="C13" s="23" t="inlineStr">
        <is>
          <t>–</t>
        </is>
      </c>
      <c r="D13" s="25" t="inlineStr">
        <is>
          <t>10,400 ÷ (11.76×1,341) – low because PV also charges battery</t>
        </is>
      </c>
    </row>
    <row r="14">
      <c r="A14" s="25" t="inlineStr">
        <is>
          <t>PR – total AC production</t>
        </is>
      </c>
      <c r="B14" s="23" t="n">
        <v>0.8159999999999999</v>
      </c>
      <c r="C14" s="23" t="inlineStr">
        <is>
          <t>–</t>
        </is>
      </c>
      <c r="D14" s="25" t="inlineStr">
        <is>
          <t>12,896 ÷ (11.76×1,341) – includes backup</t>
        </is>
      </c>
    </row>
    <row r="15" ht="22" customHeight="1">
      <c r="A15" s="25" t="inlineStr">
        <is>
          <t>Diffuse model note</t>
        </is>
      </c>
      <c r="B15" s="23" t="inlineStr"/>
      <c r="C15" s="23" t="inlineStr"/>
      <c r="D15" s="25" t="inlineStr">
        <is>
          <t>Isotropic model used; Perez would add ~5–10% to yield</t>
        </is>
      </c>
    </row>
    <row r="17" ht="18" customHeight="1">
      <c r="A17" s="2" t="inlineStr">
        <is>
          <t>Monthly Grid-Tied Yield Breakdown Year 1</t>
        </is>
      </c>
    </row>
    <row r="18">
      <c r="A18" s="3" t="inlineStr">
        <is>
          <t>Month</t>
        </is>
      </c>
      <c r="B18" s="3" t="inlineStr">
        <is>
          <t>GT AC (kWh)</t>
        </is>
      </c>
      <c r="C18" s="3" t="inlineStr">
        <is>
          <t>Backup AC (kWh)</t>
        </is>
      </c>
      <c r="D18" s="3" t="inlineStr">
        <is>
          <t>Notes</t>
        </is>
      </c>
    </row>
    <row r="19">
      <c r="A19" s="12" t="inlineStr">
        <is>
          <t>Jan</t>
        </is>
      </c>
      <c r="B19" s="5" t="n">
        <v>440.1</v>
      </c>
      <c r="C19" s="5" t="n">
        <v>240</v>
      </c>
      <c r="D19" s="4" t="inlineStr"/>
    </row>
    <row r="20">
      <c r="A20" s="13" t="inlineStr">
        <is>
          <t>Feb</t>
        </is>
      </c>
      <c r="B20" s="7" t="n">
        <v>591.5</v>
      </c>
      <c r="C20" s="7" t="n">
        <v>192</v>
      </c>
      <c r="D20" s="6" t="inlineStr"/>
    </row>
    <row r="21">
      <c r="A21" s="12" t="inlineStr">
        <is>
          <t>Mar</t>
        </is>
      </c>
      <c r="B21" s="5" t="n">
        <v>859.2</v>
      </c>
      <c r="C21" s="5" t="n">
        <v>192</v>
      </c>
      <c r="D21" s="4" t="inlineStr"/>
    </row>
    <row r="22">
      <c r="A22" s="13" t="inlineStr">
        <is>
          <t>Apr</t>
        </is>
      </c>
      <c r="B22" s="7" t="n">
        <v>1159.8</v>
      </c>
      <c r="C22" s="7" t="n">
        <v>192</v>
      </c>
      <c r="D22" s="6" t="inlineStr"/>
    </row>
    <row r="23">
      <c r="A23" s="12" t="inlineStr">
        <is>
          <t>May</t>
        </is>
      </c>
      <c r="B23" s="5" t="n">
        <v>1285.9</v>
      </c>
      <c r="C23" s="5" t="n">
        <v>240</v>
      </c>
      <c r="D23" s="4" t="inlineStr">
        <is>
          <t>Peak GT months</t>
        </is>
      </c>
    </row>
    <row r="24">
      <c r="A24" s="13" t="inlineStr">
        <is>
          <t>Jun</t>
        </is>
      </c>
      <c r="B24" s="7" t="n">
        <v>1244.3</v>
      </c>
      <c r="C24" s="7" t="n">
        <v>192</v>
      </c>
      <c r="D24" s="6" t="inlineStr">
        <is>
          <t>Peak GT months</t>
        </is>
      </c>
    </row>
    <row r="25">
      <c r="A25" s="12" t="inlineStr">
        <is>
          <t>Jul</t>
        </is>
      </c>
      <c r="B25" s="5" t="n">
        <v>1207.9</v>
      </c>
      <c r="C25" s="5" t="n">
        <v>222</v>
      </c>
      <c r="D25" s="4" t="inlineStr">
        <is>
          <t>Peak GT months</t>
        </is>
      </c>
    </row>
    <row r="26">
      <c r="A26" s="13" t="inlineStr">
        <is>
          <t>Aug</t>
        </is>
      </c>
      <c r="B26" s="7" t="n">
        <v>1069.6</v>
      </c>
      <c r="C26" s="7" t="n">
        <v>210</v>
      </c>
      <c r="D26" s="6" t="inlineStr">
        <is>
          <t>Peak GT months</t>
        </is>
      </c>
    </row>
    <row r="27">
      <c r="A27" s="12" t="inlineStr">
        <is>
          <t>Sep</t>
        </is>
      </c>
      <c r="B27" s="5" t="n">
        <v>896.6</v>
      </c>
      <c r="C27" s="5" t="n">
        <v>192</v>
      </c>
      <c r="D27" s="4" t="inlineStr"/>
    </row>
    <row r="28">
      <c r="A28" s="13" t="inlineStr">
        <is>
          <t>Oct</t>
        </is>
      </c>
      <c r="B28" s="7" t="n">
        <v>757.6</v>
      </c>
      <c r="C28" s="7" t="n">
        <v>240</v>
      </c>
      <c r="D28" s="6" t="inlineStr"/>
    </row>
    <row r="29">
      <c r="A29" s="12" t="inlineStr">
        <is>
          <t>Nov</t>
        </is>
      </c>
      <c r="B29" s="5" t="n">
        <v>478.5</v>
      </c>
      <c r="C29" s="5" t="n">
        <v>192</v>
      </c>
      <c r="D29" s="4" t="inlineStr"/>
    </row>
    <row r="30">
      <c r="A30" s="13" t="inlineStr">
        <is>
          <t>Dec</t>
        </is>
      </c>
      <c r="B30" s="7" t="n">
        <v>389.2</v>
      </c>
      <c r="C30" s="7" t="n">
        <v>192</v>
      </c>
      <c r="D30" s="6" t="inlineStr"/>
    </row>
    <row r="31">
      <c r="A31" s="14" t="inlineStr">
        <is>
          <t>TOTAL</t>
        </is>
      </c>
      <c r="B31" s="9" t="n">
        <v>10380.1</v>
      </c>
      <c r="C31" s="9" t="n">
        <v>2496</v>
      </c>
      <c r="D31" s="9" t="inlineStr"/>
    </row>
    <row r="33" ht="18" customHeight="1">
      <c r="A33" s="2" t="inlineStr">
        <is>
          <t>Q2 – Grid-Tied Savings Year 1</t>
        </is>
      </c>
    </row>
    <row r="34">
      <c r="A34" s="3" t="inlineStr">
        <is>
          <t>Parameter</t>
        </is>
      </c>
      <c r="B34" s="3" t="inlineStr">
        <is>
          <t>Formula</t>
        </is>
      </c>
      <c r="C34" s="3" t="inlineStr">
        <is>
          <t>Result</t>
        </is>
      </c>
      <c r="D34" s="3" t="inlineStr">
        <is>
          <t>Notes</t>
        </is>
      </c>
    </row>
    <row r="35">
      <c r="A35" s="4" t="inlineStr">
        <is>
          <t>GT yield Year 1</t>
        </is>
      </c>
      <c r="B35" s="5" t="inlineStr">
        <is>
          <t>10380.1 kWh</t>
        </is>
      </c>
      <c r="C35" s="5" t="inlineStr">
        <is>
          <t>10,400.3 kWh</t>
        </is>
      </c>
      <c r="D35" s="4" t="inlineStr"/>
    </row>
    <row r="36">
      <c r="A36" s="6" t="inlineStr">
        <is>
          <t>Energy price</t>
        </is>
      </c>
      <c r="B36" s="7" t="inlineStr">
        <is>
          <t>Table I</t>
        </is>
      </c>
      <c r="C36" s="7" t="inlineStr">
        <is>
          <t>€0.24/kWh</t>
        </is>
      </c>
      <c r="D36" s="6" t="inlineStr"/>
    </row>
    <row r="37">
      <c r="A37" s="14" t="inlineStr">
        <is>
          <t>ANNUAL SAVINGS – GT</t>
        </is>
      </c>
      <c r="B37" s="15">
        <f>10400.3 × 0.24</f>
        <v/>
      </c>
      <c r="C37" s="9" t="inlineStr">
        <is>
          <t>€2491.22</t>
        </is>
      </c>
      <c r="D37" s="16" t="inlineStr"/>
    </row>
    <row r="39" ht="18" customHeight="1">
      <c r="A39" s="2" t="inlineStr">
        <is>
          <t>Q3 – Total Savings Including Avoided Penalties Year 1</t>
        </is>
      </c>
    </row>
    <row r="40">
      <c r="A40" s="3" t="inlineStr">
        <is>
          <t>Parameter</t>
        </is>
      </c>
      <c r="B40" s="3" t="inlineStr">
        <is>
          <t>Formula</t>
        </is>
      </c>
      <c r="C40" s="3" t="inlineStr">
        <is>
          <t>Result</t>
        </is>
      </c>
      <c r="D40" s="3" t="inlineStr">
        <is>
          <t>Notes</t>
        </is>
      </c>
    </row>
    <row r="41">
      <c r="A41" s="4" t="inlineStr">
        <is>
          <t>Clients</t>
        </is>
      </c>
      <c r="B41" s="5" t="inlineStr">
        <is>
          <t>Given</t>
        </is>
      </c>
      <c r="C41" s="5" t="inlineStr">
        <is>
          <t>45</t>
        </is>
      </c>
      <c r="D41" s="4" t="inlineStr"/>
    </row>
    <row r="42">
      <c r="A42" s="6" t="inlineStr">
        <is>
          <t>Compensation rate</t>
        </is>
      </c>
      <c r="B42" s="7" t="inlineStr">
        <is>
          <t>Table I</t>
        </is>
      </c>
      <c r="C42" s="7" t="inlineStr">
        <is>
          <t>€3.00/hr/client</t>
        </is>
      </c>
      <c r="D42" s="6" t="inlineStr"/>
    </row>
    <row r="43">
      <c r="A43" s="4" t="inlineStr">
        <is>
          <t>Events/year</t>
        </is>
      </c>
      <c r="B43" s="5" t="inlineStr">
        <is>
          <t>From blackout mask</t>
        </is>
      </c>
      <c r="C43" s="5" t="n">
        <v>52</v>
      </c>
      <c r="D43" s="4" t="inlineStr"/>
    </row>
    <row r="44">
      <c r="A44" s="6" t="inlineStr">
        <is>
          <t>Hours/event</t>
        </is>
      </c>
      <c r="B44" s="7" t="inlineStr">
        <is>
          <t>20:00–04:00</t>
        </is>
      </c>
      <c r="C44" s="7" t="inlineStr">
        <is>
          <t>8 h</t>
        </is>
      </c>
      <c r="D44" s="6" t="inlineStr"/>
    </row>
    <row r="45">
      <c r="A45" s="11" t="inlineStr">
        <is>
          <t>Penalty without system</t>
        </is>
      </c>
      <c r="B45" s="17">
        <f>45×3×416</f>
        <v/>
      </c>
      <c r="C45" s="17" t="inlineStr">
        <is>
          <t>€56,160</t>
        </is>
      </c>
      <c r="D45" s="11" t="inlineStr">
        <is>
          <t>All avoided</t>
        </is>
      </c>
    </row>
    <row r="46">
      <c r="A46" s="6" t="inlineStr">
        <is>
          <t>Blackouts covered</t>
        </is>
      </c>
      <c r="B46" s="7" t="inlineStr">
        <is>
          <t>✓ YES</t>
        </is>
      </c>
      <c r="C46" s="7" t="inlineStr">
        <is>
          <t>52/52</t>
        </is>
      </c>
      <c r="D46" s="6" t="inlineStr">
        <is>
          <t>Zero penalties paid if all are covered</t>
        </is>
      </c>
    </row>
    <row r="47">
      <c r="A47" s="14" t="inlineStr">
        <is>
          <t>PENALTY SAVINGS</t>
        </is>
      </c>
      <c r="B47" s="15">
        <f>45×3×416</f>
        <v/>
      </c>
      <c r="C47" s="9" t="inlineStr">
        <is>
          <t>€56,160</t>
        </is>
      </c>
      <c r="D47" s="16" t="inlineStr"/>
    </row>
    <row r="48">
      <c r="A48" s="6" t="inlineStr">
        <is>
          <t>GT energy savings (Q2)</t>
        </is>
      </c>
      <c r="B48" s="7" t="inlineStr">
        <is>
          <t>Above</t>
        </is>
      </c>
      <c r="C48" s="7" t="inlineStr">
        <is>
          <t>€2491.22</t>
        </is>
      </c>
      <c r="D48" s="6" t="inlineStr"/>
    </row>
    <row r="49">
      <c r="A49" s="14" t="inlineStr">
        <is>
          <t>TOTAL ANNUAL SAVINGS</t>
        </is>
      </c>
      <c r="B49" s="15">
        <f>€56,160.0+€2491.22</f>
        <v/>
      </c>
      <c r="C49" s="9" t="inlineStr">
        <is>
          <t>€58,651.22</t>
        </is>
      </c>
      <c r="D49" s="16" t="inlineStr"/>
    </row>
    <row r="50">
      <c r="A50" s="6" t="inlineStr">
        <is>
          <t>3-year total</t>
        </is>
      </c>
      <c r="B50" s="7" t="inlineStr">
        <is>
          <t>×3</t>
        </is>
      </c>
      <c r="C50" s="7" t="inlineStr">
        <is>
          <t>€175,954</t>
        </is>
      </c>
      <c r="D50" s="6" t="inlineStr">
        <is>
          <t>Undiscounted</t>
        </is>
      </c>
    </row>
  </sheetData>
  <mergeCells count="5">
    <mergeCell ref="A1:D1"/>
    <mergeCell ref="A17:D17"/>
    <mergeCell ref="A3:D3"/>
    <mergeCell ref="A39:D39"/>
    <mergeCell ref="A33:D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22" customHeight="1">
      <c r="A1" s="28" t="inlineStr">
        <is>
          <t>Hourly Load Profile – Load 3 | Tampa representative year | First 168 hours shown (full year = 8,760 rows)</t>
        </is>
      </c>
    </row>
    <row r="2" ht="16" customHeight="1">
      <c r="A2" s="29" t="inlineStr">
        <is>
          <t>NOTE: The complete 8,760-hour profile was built in a separate file. Key parameters below.</t>
        </is>
      </c>
    </row>
    <row r="3">
      <c r="A3" s="30" t="inlineStr">
        <is>
          <t>Hour#</t>
        </is>
      </c>
      <c r="B3" s="30" t="inlineStr">
        <is>
          <t>Month</t>
        </is>
      </c>
      <c r="C3" s="30" t="inlineStr">
        <is>
          <t>DOY</t>
        </is>
      </c>
      <c r="D3" s="30" t="inlineStr">
        <is>
          <t>Hour</t>
        </is>
      </c>
      <c r="E3" s="30" t="inlineStr">
        <is>
          <t>Day-of-Week</t>
        </is>
      </c>
      <c r="F3" s="30" t="inlineStr">
        <is>
          <t>Is Blackout?</t>
        </is>
      </c>
      <c r="G3" s="30" t="inlineStr">
        <is>
          <t>Load (kW)</t>
        </is>
      </c>
      <c r="H3" s="30" t="inlineStr">
        <is>
          <t>Active Load (kW)</t>
        </is>
      </c>
      <c r="I3" s="30" t="inlineStr">
        <is>
          <t>Mode (sim)</t>
        </is>
      </c>
    </row>
    <row r="4">
      <c r="A4" s="31" t="n">
        <v>1</v>
      </c>
      <c r="B4" s="31" t="inlineStr">
        <is>
          <t>Jan</t>
        </is>
      </c>
      <c r="C4" s="31" t="n">
        <v>1</v>
      </c>
      <c r="D4" s="31" t="n">
        <v>1</v>
      </c>
      <c r="E4" s="31" t="inlineStr">
        <is>
          <t>Wed</t>
        </is>
      </c>
      <c r="F4" s="31" t="inlineStr">
        <is>
          <t>NO</t>
        </is>
      </c>
      <c r="G4" s="31" t="n">
        <v>7.0075</v>
      </c>
      <c r="H4" s="31" t="n">
        <v>7.0075</v>
      </c>
      <c r="I4" s="31" t="inlineStr">
        <is>
          <t>IDLE</t>
        </is>
      </c>
    </row>
    <row r="5">
      <c r="A5" s="32" t="n">
        <v>2</v>
      </c>
      <c r="B5" s="32" t="inlineStr">
        <is>
          <t>Jan</t>
        </is>
      </c>
      <c r="C5" s="32" t="n">
        <v>1</v>
      </c>
      <c r="D5" s="32" t="n">
        <v>2</v>
      </c>
      <c r="E5" s="32" t="inlineStr">
        <is>
          <t>Wed</t>
        </is>
      </c>
      <c r="F5" s="32" t="inlineStr">
        <is>
          <t>NO</t>
        </is>
      </c>
      <c r="G5" s="32" t="n">
        <v>7.0075</v>
      </c>
      <c r="H5" s="32" t="n">
        <v>7.0075</v>
      </c>
      <c r="I5" s="32" t="inlineStr">
        <is>
          <t>IDLE</t>
        </is>
      </c>
    </row>
    <row r="6">
      <c r="A6" s="31" t="n">
        <v>3</v>
      </c>
      <c r="B6" s="31" t="inlineStr">
        <is>
          <t>Jan</t>
        </is>
      </c>
      <c r="C6" s="31" t="n">
        <v>1</v>
      </c>
      <c r="D6" s="31" t="n">
        <v>3</v>
      </c>
      <c r="E6" s="31" t="inlineStr">
        <is>
          <t>Wed</t>
        </is>
      </c>
      <c r="F6" s="31" t="inlineStr">
        <is>
          <t>NO</t>
        </is>
      </c>
      <c r="G6" s="31" t="n">
        <v>7.1362</v>
      </c>
      <c r="H6" s="31" t="n">
        <v>7.1362</v>
      </c>
      <c r="I6" s="31" t="inlineStr">
        <is>
          <t>IDLE</t>
        </is>
      </c>
    </row>
    <row r="7">
      <c r="A7" s="32" t="n">
        <v>4</v>
      </c>
      <c r="B7" s="32" t="inlineStr">
        <is>
          <t>Jan</t>
        </is>
      </c>
      <c r="C7" s="32" t="n">
        <v>1</v>
      </c>
      <c r="D7" s="32" t="n">
        <v>4</v>
      </c>
      <c r="E7" s="32" t="inlineStr">
        <is>
          <t>Wed</t>
        </is>
      </c>
      <c r="F7" s="32" t="inlineStr">
        <is>
          <t>NO</t>
        </is>
      </c>
      <c r="G7" s="32" t="n">
        <v>7.2834</v>
      </c>
      <c r="H7" s="32" t="n">
        <v>7.2834</v>
      </c>
      <c r="I7" s="32" t="inlineStr">
        <is>
          <t>IDLE</t>
        </is>
      </c>
    </row>
    <row r="8">
      <c r="A8" s="31" t="n">
        <v>5</v>
      </c>
      <c r="B8" s="31" t="inlineStr">
        <is>
          <t>Jan</t>
        </is>
      </c>
      <c r="C8" s="31" t="n">
        <v>1</v>
      </c>
      <c r="D8" s="31" t="n">
        <v>5</v>
      </c>
      <c r="E8" s="31" t="inlineStr">
        <is>
          <t>Wed</t>
        </is>
      </c>
      <c r="F8" s="31" t="inlineStr">
        <is>
          <t>NO</t>
        </is>
      </c>
      <c r="G8" s="31" t="n">
        <v>7.2834</v>
      </c>
      <c r="H8" s="31" t="n">
        <v>7.2834</v>
      </c>
      <c r="I8" s="31" t="inlineStr">
        <is>
          <t>IDLE</t>
        </is>
      </c>
    </row>
    <row r="9">
      <c r="A9" s="32" t="n">
        <v>6</v>
      </c>
      <c r="B9" s="32" t="inlineStr">
        <is>
          <t>Jan</t>
        </is>
      </c>
      <c r="C9" s="32" t="n">
        <v>1</v>
      </c>
      <c r="D9" s="32" t="n">
        <v>6</v>
      </c>
      <c r="E9" s="32" t="inlineStr">
        <is>
          <t>Wed</t>
        </is>
      </c>
      <c r="F9" s="32" t="inlineStr">
        <is>
          <t>NO</t>
        </is>
      </c>
      <c r="G9" s="32" t="n">
        <v>7.4121</v>
      </c>
      <c r="H9" s="32" t="n">
        <v>7.4121</v>
      </c>
      <c r="I9" s="32" t="inlineStr">
        <is>
          <t>IDLE</t>
        </is>
      </c>
    </row>
    <row r="10">
      <c r="A10" s="31" t="n">
        <v>7</v>
      </c>
      <c r="B10" s="31" t="inlineStr">
        <is>
          <t>Jan</t>
        </is>
      </c>
      <c r="C10" s="31" t="n">
        <v>1</v>
      </c>
      <c r="D10" s="31" t="n">
        <v>7</v>
      </c>
      <c r="E10" s="31" t="inlineStr">
        <is>
          <t>Wed</t>
        </is>
      </c>
      <c r="F10" s="31" t="inlineStr">
        <is>
          <t>NO</t>
        </is>
      </c>
      <c r="G10" s="31" t="n">
        <v>7.7064</v>
      </c>
      <c r="H10" s="31" t="n">
        <v>7.7064</v>
      </c>
      <c r="I10" s="31" t="inlineStr">
        <is>
          <t>IDLE</t>
        </is>
      </c>
    </row>
    <row r="11">
      <c r="A11" s="32" t="n">
        <v>8</v>
      </c>
      <c r="B11" s="32" t="inlineStr">
        <is>
          <t>Jan</t>
        </is>
      </c>
      <c r="C11" s="32" t="n">
        <v>1</v>
      </c>
      <c r="D11" s="32" t="n">
        <v>8</v>
      </c>
      <c r="E11" s="32" t="inlineStr">
        <is>
          <t>Wed</t>
        </is>
      </c>
      <c r="F11" s="32" t="inlineStr">
        <is>
          <t>NO</t>
        </is>
      </c>
      <c r="G11" s="32" t="n">
        <v>7.7064</v>
      </c>
      <c r="H11" s="32" t="n">
        <v>7.7064</v>
      </c>
      <c r="I11" s="32" t="inlineStr">
        <is>
          <t>GRID_TIED</t>
        </is>
      </c>
    </row>
    <row r="12">
      <c r="A12" s="31" t="n">
        <v>9</v>
      </c>
      <c r="B12" s="31" t="inlineStr">
        <is>
          <t>Jan</t>
        </is>
      </c>
      <c r="C12" s="31" t="n">
        <v>1</v>
      </c>
      <c r="D12" s="31" t="n">
        <v>9</v>
      </c>
      <c r="E12" s="31" t="inlineStr">
        <is>
          <t>Wed</t>
        </is>
      </c>
      <c r="F12" s="31" t="inlineStr">
        <is>
          <t>NO</t>
        </is>
      </c>
      <c r="G12" s="31" t="n">
        <v>7.9823</v>
      </c>
      <c r="H12" s="31" t="n">
        <v>7.9823</v>
      </c>
      <c r="I12" s="31" t="inlineStr">
        <is>
          <t>GRID_TIED</t>
        </is>
      </c>
    </row>
    <row r="13">
      <c r="A13" s="32" t="n">
        <v>10</v>
      </c>
      <c r="B13" s="32" t="inlineStr">
        <is>
          <t>Jan</t>
        </is>
      </c>
      <c r="C13" s="32" t="n">
        <v>1</v>
      </c>
      <c r="D13" s="32" t="n">
        <v>10</v>
      </c>
      <c r="E13" s="32" t="inlineStr">
        <is>
          <t>Wed</t>
        </is>
      </c>
      <c r="F13" s="32" t="inlineStr">
        <is>
          <t>NO</t>
        </is>
      </c>
      <c r="G13" s="32" t="n">
        <v>7.9823</v>
      </c>
      <c r="H13" s="32" t="n">
        <v>7.9823</v>
      </c>
      <c r="I13" s="32" t="inlineStr">
        <is>
          <t>GRID_TIED</t>
        </is>
      </c>
    </row>
    <row r="14">
      <c r="A14" s="31" t="n">
        <v>11</v>
      </c>
      <c r="B14" s="31" t="inlineStr">
        <is>
          <t>Jan</t>
        </is>
      </c>
      <c r="C14" s="31" t="n">
        <v>1</v>
      </c>
      <c r="D14" s="31" t="n">
        <v>11</v>
      </c>
      <c r="E14" s="31" t="inlineStr">
        <is>
          <t>Wed</t>
        </is>
      </c>
      <c r="F14" s="31" t="inlineStr">
        <is>
          <t>NO</t>
        </is>
      </c>
      <c r="G14" s="31" t="n">
        <v>8.111000000000001</v>
      </c>
      <c r="H14" s="31" t="n">
        <v>8.111000000000001</v>
      </c>
      <c r="I14" s="31" t="inlineStr">
        <is>
          <t>GRID_TIED</t>
        </is>
      </c>
    </row>
    <row r="15">
      <c r="A15" s="32" t="n">
        <v>12</v>
      </c>
      <c r="B15" s="32" t="inlineStr">
        <is>
          <t>Jan</t>
        </is>
      </c>
      <c r="C15" s="32" t="n">
        <v>1</v>
      </c>
      <c r="D15" s="32" t="n">
        <v>12</v>
      </c>
      <c r="E15" s="32" t="inlineStr">
        <is>
          <t>Wed</t>
        </is>
      </c>
      <c r="F15" s="32" t="inlineStr">
        <is>
          <t>NO</t>
        </is>
      </c>
      <c r="G15" s="32" t="n">
        <v>8.111000000000001</v>
      </c>
      <c r="H15" s="32" t="n">
        <v>8.111000000000001</v>
      </c>
      <c r="I15" s="32" t="inlineStr">
        <is>
          <t>GRID_TIED</t>
        </is>
      </c>
    </row>
    <row r="16">
      <c r="A16" s="31" t="n">
        <v>13</v>
      </c>
      <c r="B16" s="31" t="inlineStr">
        <is>
          <t>Jan</t>
        </is>
      </c>
      <c r="C16" s="31" t="n">
        <v>1</v>
      </c>
      <c r="D16" s="31" t="n">
        <v>13</v>
      </c>
      <c r="E16" s="31" t="inlineStr">
        <is>
          <t>Wed</t>
        </is>
      </c>
      <c r="F16" s="31" t="inlineStr">
        <is>
          <t>NO</t>
        </is>
      </c>
      <c r="G16" s="31" t="n">
        <v>8.2582</v>
      </c>
      <c r="H16" s="31" t="n">
        <v>8.2582</v>
      </c>
      <c r="I16" s="31" t="inlineStr">
        <is>
          <t>GRID_TIED</t>
        </is>
      </c>
    </row>
    <row r="17">
      <c r="A17" s="32" t="n">
        <v>14</v>
      </c>
      <c r="B17" s="32" t="inlineStr">
        <is>
          <t>Jan</t>
        </is>
      </c>
      <c r="C17" s="32" t="n">
        <v>1</v>
      </c>
      <c r="D17" s="32" t="n">
        <v>14</v>
      </c>
      <c r="E17" s="32" t="inlineStr">
        <is>
          <t>Wed</t>
        </is>
      </c>
      <c r="F17" s="32" t="inlineStr">
        <is>
          <t>NO</t>
        </is>
      </c>
      <c r="G17" s="32" t="n">
        <v>8.2582</v>
      </c>
      <c r="H17" s="32" t="n">
        <v>8.2582</v>
      </c>
      <c r="I17" s="32" t="inlineStr">
        <is>
          <t>GRID_TIED</t>
        </is>
      </c>
    </row>
    <row r="18">
      <c r="A18" s="31" t="n">
        <v>15</v>
      </c>
      <c r="B18" s="31" t="inlineStr">
        <is>
          <t>Jan</t>
        </is>
      </c>
      <c r="C18" s="31" t="n">
        <v>1</v>
      </c>
      <c r="D18" s="31" t="n">
        <v>15</v>
      </c>
      <c r="E18" s="31" t="inlineStr">
        <is>
          <t>Wed</t>
        </is>
      </c>
      <c r="F18" s="31" t="inlineStr">
        <is>
          <t>NO</t>
        </is>
      </c>
      <c r="G18" s="31" t="n">
        <v>8.111000000000001</v>
      </c>
      <c r="H18" s="31" t="n">
        <v>8.111000000000001</v>
      </c>
      <c r="I18" s="31" t="inlineStr">
        <is>
          <t>GRID_TIED</t>
        </is>
      </c>
    </row>
    <row r="19">
      <c r="A19" s="32" t="n">
        <v>16</v>
      </c>
      <c r="B19" s="32" t="inlineStr">
        <is>
          <t>Jan</t>
        </is>
      </c>
      <c r="C19" s="32" t="n">
        <v>1</v>
      </c>
      <c r="D19" s="32" t="n">
        <v>16</v>
      </c>
      <c r="E19" s="32" t="inlineStr">
        <is>
          <t>Wed</t>
        </is>
      </c>
      <c r="F19" s="32" t="inlineStr">
        <is>
          <t>NO</t>
        </is>
      </c>
      <c r="G19" s="32" t="n">
        <v>8.111000000000001</v>
      </c>
      <c r="H19" s="32" t="n">
        <v>8.111000000000001</v>
      </c>
      <c r="I19" s="32" t="inlineStr">
        <is>
          <t>GRID_TIED</t>
        </is>
      </c>
    </row>
    <row r="20">
      <c r="A20" s="31" t="n">
        <v>17</v>
      </c>
      <c r="B20" s="31" t="inlineStr">
        <is>
          <t>Jan</t>
        </is>
      </c>
      <c r="C20" s="31" t="n">
        <v>1</v>
      </c>
      <c r="D20" s="31" t="n">
        <v>17</v>
      </c>
      <c r="E20" s="31" t="inlineStr">
        <is>
          <t>Wed</t>
        </is>
      </c>
      <c r="F20" s="31" t="inlineStr">
        <is>
          <t>NO</t>
        </is>
      </c>
      <c r="G20" s="31" t="n">
        <v>7.9823</v>
      </c>
      <c r="H20" s="31" t="n">
        <v>7.9823</v>
      </c>
      <c r="I20" s="31" t="inlineStr">
        <is>
          <t>GRID_TIED</t>
        </is>
      </c>
    </row>
    <row r="21">
      <c r="A21" s="32" t="n">
        <v>18</v>
      </c>
      <c r="B21" s="32" t="inlineStr">
        <is>
          <t>Jan</t>
        </is>
      </c>
      <c r="C21" s="32" t="n">
        <v>1</v>
      </c>
      <c r="D21" s="32" t="n">
        <v>18</v>
      </c>
      <c r="E21" s="32" t="inlineStr">
        <is>
          <t>Wed</t>
        </is>
      </c>
      <c r="F21" s="32" t="inlineStr">
        <is>
          <t>NO</t>
        </is>
      </c>
      <c r="G21" s="32" t="n">
        <v>7.9823</v>
      </c>
      <c r="H21" s="32" t="n">
        <v>7.9823</v>
      </c>
      <c r="I21" s="32" t="inlineStr">
        <is>
          <t>GRID_TIED</t>
        </is>
      </c>
    </row>
    <row r="22">
      <c r="A22" s="31" t="n">
        <v>19</v>
      </c>
      <c r="B22" s="31" t="inlineStr">
        <is>
          <t>Jan</t>
        </is>
      </c>
      <c r="C22" s="31" t="n">
        <v>1</v>
      </c>
      <c r="D22" s="31" t="n">
        <v>19</v>
      </c>
      <c r="E22" s="31" t="inlineStr">
        <is>
          <t>Wed</t>
        </is>
      </c>
      <c r="F22" s="31" t="inlineStr">
        <is>
          <t>NO</t>
        </is>
      </c>
      <c r="G22" s="31" t="n">
        <v>7.8351</v>
      </c>
      <c r="H22" s="31" t="n">
        <v>7.8351</v>
      </c>
      <c r="I22" s="31" t="inlineStr">
        <is>
          <t>IDLE</t>
        </is>
      </c>
    </row>
    <row r="23">
      <c r="A23" s="32" t="n">
        <v>20</v>
      </c>
      <c r="B23" s="32" t="inlineStr">
        <is>
          <t>Jan</t>
        </is>
      </c>
      <c r="C23" s="32" t="n">
        <v>1</v>
      </c>
      <c r="D23" s="32" t="n">
        <v>20</v>
      </c>
      <c r="E23" s="32" t="inlineStr">
        <is>
          <t>Wed</t>
        </is>
      </c>
      <c r="F23" s="32" t="inlineStr">
        <is>
          <t>NO</t>
        </is>
      </c>
      <c r="G23" s="32" t="n">
        <v>7.7064</v>
      </c>
      <c r="H23" s="32" t="n">
        <v>7.7064</v>
      </c>
      <c r="I23" s="32" t="inlineStr">
        <is>
          <t>IDLE</t>
        </is>
      </c>
    </row>
    <row r="24">
      <c r="A24" s="31" t="n">
        <v>21</v>
      </c>
      <c r="B24" s="31" t="inlineStr">
        <is>
          <t>Jan</t>
        </is>
      </c>
      <c r="C24" s="31" t="n">
        <v>1</v>
      </c>
      <c r="D24" s="31" t="n">
        <v>21</v>
      </c>
      <c r="E24" s="31" t="inlineStr">
        <is>
          <t>Wed</t>
        </is>
      </c>
      <c r="F24" s="31" t="inlineStr">
        <is>
          <t>NO</t>
        </is>
      </c>
      <c r="G24" s="31" t="n">
        <v>7.5592</v>
      </c>
      <c r="H24" s="31" t="n">
        <v>7.5592</v>
      </c>
      <c r="I24" s="31" t="inlineStr">
        <is>
          <t>IDLE</t>
        </is>
      </c>
    </row>
    <row r="25">
      <c r="A25" s="32" t="n">
        <v>22</v>
      </c>
      <c r="B25" s="32" t="inlineStr">
        <is>
          <t>Jan</t>
        </is>
      </c>
      <c r="C25" s="32" t="n">
        <v>1</v>
      </c>
      <c r="D25" s="32" t="n">
        <v>22</v>
      </c>
      <c r="E25" s="32" t="inlineStr">
        <is>
          <t>Wed</t>
        </is>
      </c>
      <c r="F25" s="32" t="inlineStr">
        <is>
          <t>NO</t>
        </is>
      </c>
      <c r="G25" s="32" t="n">
        <v>7.2834</v>
      </c>
      <c r="H25" s="32" t="n">
        <v>7.2834</v>
      </c>
      <c r="I25" s="32" t="inlineStr">
        <is>
          <t>IDLE</t>
        </is>
      </c>
    </row>
    <row r="26">
      <c r="A26" s="31" t="n">
        <v>23</v>
      </c>
      <c r="B26" s="31" t="inlineStr">
        <is>
          <t>Jan</t>
        </is>
      </c>
      <c r="C26" s="31" t="n">
        <v>1</v>
      </c>
      <c r="D26" s="31" t="n">
        <v>23</v>
      </c>
      <c r="E26" s="31" t="inlineStr">
        <is>
          <t>Wed</t>
        </is>
      </c>
      <c r="F26" s="31" t="inlineStr">
        <is>
          <t>NO</t>
        </is>
      </c>
      <c r="G26" s="31" t="n">
        <v>7.1362</v>
      </c>
      <c r="H26" s="31" t="n">
        <v>7.1362</v>
      </c>
      <c r="I26" s="31" t="inlineStr">
        <is>
          <t>IDLE</t>
        </is>
      </c>
    </row>
    <row r="27">
      <c r="A27" s="32" t="n">
        <v>24</v>
      </c>
      <c r="B27" s="32" t="inlineStr">
        <is>
          <t>Jan</t>
        </is>
      </c>
      <c r="C27" s="32" t="n">
        <v>1</v>
      </c>
      <c r="D27" s="32" t="n">
        <v>24</v>
      </c>
      <c r="E27" s="32" t="inlineStr">
        <is>
          <t>Wed</t>
        </is>
      </c>
      <c r="F27" s="32" t="inlineStr">
        <is>
          <t>NO</t>
        </is>
      </c>
      <c r="G27" s="32" t="n">
        <v>7.0075</v>
      </c>
      <c r="H27" s="32" t="n">
        <v>7.0075</v>
      </c>
      <c r="I27" s="32" t="inlineStr">
        <is>
          <t>IDLE</t>
        </is>
      </c>
    </row>
    <row r="28">
      <c r="A28" s="31" t="n">
        <v>25</v>
      </c>
      <c r="B28" s="31" t="inlineStr">
        <is>
          <t>Jan</t>
        </is>
      </c>
      <c r="C28" s="31" t="n">
        <v>2</v>
      </c>
      <c r="D28" s="31" t="n">
        <v>1</v>
      </c>
      <c r="E28" s="31" t="inlineStr">
        <is>
          <t>Thu</t>
        </is>
      </c>
      <c r="F28" s="31" t="inlineStr">
        <is>
          <t>NO</t>
        </is>
      </c>
      <c r="G28" s="31" t="n">
        <v>7.0075</v>
      </c>
      <c r="H28" s="31" t="n">
        <v>7.0075</v>
      </c>
      <c r="I28" s="31" t="inlineStr">
        <is>
          <t>IDLE</t>
        </is>
      </c>
    </row>
    <row r="29">
      <c r="A29" s="32" t="n">
        <v>26</v>
      </c>
      <c r="B29" s="32" t="inlineStr">
        <is>
          <t>Jan</t>
        </is>
      </c>
      <c r="C29" s="32" t="n">
        <v>2</v>
      </c>
      <c r="D29" s="32" t="n">
        <v>2</v>
      </c>
      <c r="E29" s="32" t="inlineStr">
        <is>
          <t>Thu</t>
        </is>
      </c>
      <c r="F29" s="32" t="inlineStr">
        <is>
          <t>NO</t>
        </is>
      </c>
      <c r="G29" s="32" t="n">
        <v>7.0075</v>
      </c>
      <c r="H29" s="32" t="n">
        <v>7.0075</v>
      </c>
      <c r="I29" s="32" t="inlineStr">
        <is>
          <t>IDLE</t>
        </is>
      </c>
    </row>
    <row r="30">
      <c r="A30" s="31" t="n">
        <v>27</v>
      </c>
      <c r="B30" s="31" t="inlineStr">
        <is>
          <t>Jan</t>
        </is>
      </c>
      <c r="C30" s="31" t="n">
        <v>2</v>
      </c>
      <c r="D30" s="31" t="n">
        <v>3</v>
      </c>
      <c r="E30" s="31" t="inlineStr">
        <is>
          <t>Thu</t>
        </is>
      </c>
      <c r="F30" s="31" t="inlineStr">
        <is>
          <t>NO</t>
        </is>
      </c>
      <c r="G30" s="31" t="n">
        <v>7.1362</v>
      </c>
      <c r="H30" s="31" t="n">
        <v>7.1362</v>
      </c>
      <c r="I30" s="31" t="inlineStr">
        <is>
          <t>IDLE</t>
        </is>
      </c>
    </row>
    <row r="31">
      <c r="A31" s="32" t="n">
        <v>28</v>
      </c>
      <c r="B31" s="32" t="inlineStr">
        <is>
          <t>Jan</t>
        </is>
      </c>
      <c r="C31" s="32" t="n">
        <v>2</v>
      </c>
      <c r="D31" s="32" t="n">
        <v>4</v>
      </c>
      <c r="E31" s="32" t="inlineStr">
        <is>
          <t>Thu</t>
        </is>
      </c>
      <c r="F31" s="32" t="inlineStr">
        <is>
          <t>NO</t>
        </is>
      </c>
      <c r="G31" s="32" t="n">
        <v>7.2834</v>
      </c>
      <c r="H31" s="32" t="n">
        <v>7.2834</v>
      </c>
      <c r="I31" s="32" t="inlineStr">
        <is>
          <t>IDLE</t>
        </is>
      </c>
    </row>
    <row r="32">
      <c r="A32" s="31" t="n">
        <v>29</v>
      </c>
      <c r="B32" s="31" t="inlineStr">
        <is>
          <t>Jan</t>
        </is>
      </c>
      <c r="C32" s="31" t="n">
        <v>2</v>
      </c>
      <c r="D32" s="31" t="n">
        <v>5</v>
      </c>
      <c r="E32" s="31" t="inlineStr">
        <is>
          <t>Thu</t>
        </is>
      </c>
      <c r="F32" s="31" t="inlineStr">
        <is>
          <t>NO</t>
        </is>
      </c>
      <c r="G32" s="31" t="n">
        <v>7.2834</v>
      </c>
      <c r="H32" s="31" t="n">
        <v>7.2834</v>
      </c>
      <c r="I32" s="31" t="inlineStr">
        <is>
          <t>IDLE</t>
        </is>
      </c>
    </row>
    <row r="33">
      <c r="A33" s="32" t="n">
        <v>30</v>
      </c>
      <c r="B33" s="32" t="inlineStr">
        <is>
          <t>Jan</t>
        </is>
      </c>
      <c r="C33" s="32" t="n">
        <v>2</v>
      </c>
      <c r="D33" s="32" t="n">
        <v>6</v>
      </c>
      <c r="E33" s="32" t="inlineStr">
        <is>
          <t>Thu</t>
        </is>
      </c>
      <c r="F33" s="32" t="inlineStr">
        <is>
          <t>NO</t>
        </is>
      </c>
      <c r="G33" s="32" t="n">
        <v>7.4121</v>
      </c>
      <c r="H33" s="32" t="n">
        <v>7.4121</v>
      </c>
      <c r="I33" s="32" t="inlineStr">
        <is>
          <t>IDLE</t>
        </is>
      </c>
    </row>
    <row r="34">
      <c r="A34" s="31" t="n">
        <v>31</v>
      </c>
      <c r="B34" s="31" t="inlineStr">
        <is>
          <t>Jan</t>
        </is>
      </c>
      <c r="C34" s="31" t="n">
        <v>2</v>
      </c>
      <c r="D34" s="31" t="n">
        <v>7</v>
      </c>
      <c r="E34" s="31" t="inlineStr">
        <is>
          <t>Thu</t>
        </is>
      </c>
      <c r="F34" s="31" t="inlineStr">
        <is>
          <t>NO</t>
        </is>
      </c>
      <c r="G34" s="31" t="n">
        <v>7.7064</v>
      </c>
      <c r="H34" s="31" t="n">
        <v>7.7064</v>
      </c>
      <c r="I34" s="31" t="inlineStr">
        <is>
          <t>IDLE</t>
        </is>
      </c>
    </row>
    <row r="35">
      <c r="A35" s="32" t="n">
        <v>32</v>
      </c>
      <c r="B35" s="32" t="inlineStr">
        <is>
          <t>Jan</t>
        </is>
      </c>
      <c r="C35" s="32" t="n">
        <v>2</v>
      </c>
      <c r="D35" s="32" t="n">
        <v>8</v>
      </c>
      <c r="E35" s="32" t="inlineStr">
        <is>
          <t>Thu</t>
        </is>
      </c>
      <c r="F35" s="32" t="inlineStr">
        <is>
          <t>NO</t>
        </is>
      </c>
      <c r="G35" s="32" t="n">
        <v>7.7064</v>
      </c>
      <c r="H35" s="32" t="n">
        <v>7.7064</v>
      </c>
      <c r="I35" s="32" t="inlineStr">
        <is>
          <t>GRID_TIED</t>
        </is>
      </c>
    </row>
    <row r="36">
      <c r="A36" s="31" t="n">
        <v>33</v>
      </c>
      <c r="B36" s="31" t="inlineStr">
        <is>
          <t>Jan</t>
        </is>
      </c>
      <c r="C36" s="31" t="n">
        <v>2</v>
      </c>
      <c r="D36" s="31" t="n">
        <v>9</v>
      </c>
      <c r="E36" s="31" t="inlineStr">
        <is>
          <t>Thu</t>
        </is>
      </c>
      <c r="F36" s="31" t="inlineStr">
        <is>
          <t>NO</t>
        </is>
      </c>
      <c r="G36" s="31" t="n">
        <v>7.9823</v>
      </c>
      <c r="H36" s="31" t="n">
        <v>7.9823</v>
      </c>
      <c r="I36" s="31" t="inlineStr">
        <is>
          <t>GRID_TIED</t>
        </is>
      </c>
    </row>
    <row r="37">
      <c r="A37" s="32" t="n">
        <v>34</v>
      </c>
      <c r="B37" s="32" t="inlineStr">
        <is>
          <t>Jan</t>
        </is>
      </c>
      <c r="C37" s="32" t="n">
        <v>2</v>
      </c>
      <c r="D37" s="32" t="n">
        <v>10</v>
      </c>
      <c r="E37" s="32" t="inlineStr">
        <is>
          <t>Thu</t>
        </is>
      </c>
      <c r="F37" s="32" t="inlineStr">
        <is>
          <t>NO</t>
        </is>
      </c>
      <c r="G37" s="32" t="n">
        <v>7.9823</v>
      </c>
      <c r="H37" s="32" t="n">
        <v>7.9823</v>
      </c>
      <c r="I37" s="32" t="inlineStr">
        <is>
          <t>GRID_TIED</t>
        </is>
      </c>
    </row>
    <row r="38">
      <c r="A38" s="31" t="n">
        <v>35</v>
      </c>
      <c r="B38" s="31" t="inlineStr">
        <is>
          <t>Jan</t>
        </is>
      </c>
      <c r="C38" s="31" t="n">
        <v>2</v>
      </c>
      <c r="D38" s="31" t="n">
        <v>11</v>
      </c>
      <c r="E38" s="31" t="inlineStr">
        <is>
          <t>Thu</t>
        </is>
      </c>
      <c r="F38" s="31" t="inlineStr">
        <is>
          <t>NO</t>
        </is>
      </c>
      <c r="G38" s="31" t="n">
        <v>8.111000000000001</v>
      </c>
      <c r="H38" s="31" t="n">
        <v>8.111000000000001</v>
      </c>
      <c r="I38" s="31" t="inlineStr">
        <is>
          <t>GRID_TIED</t>
        </is>
      </c>
    </row>
    <row r="39">
      <c r="A39" s="32" t="n">
        <v>36</v>
      </c>
      <c r="B39" s="32" t="inlineStr">
        <is>
          <t>Jan</t>
        </is>
      </c>
      <c r="C39" s="32" t="n">
        <v>2</v>
      </c>
      <c r="D39" s="32" t="n">
        <v>12</v>
      </c>
      <c r="E39" s="32" t="inlineStr">
        <is>
          <t>Thu</t>
        </is>
      </c>
      <c r="F39" s="32" t="inlineStr">
        <is>
          <t>NO</t>
        </is>
      </c>
      <c r="G39" s="32" t="n">
        <v>8.111000000000001</v>
      </c>
      <c r="H39" s="32" t="n">
        <v>8.111000000000001</v>
      </c>
      <c r="I39" s="32" t="inlineStr">
        <is>
          <t>GRID_TIED</t>
        </is>
      </c>
    </row>
    <row r="40">
      <c r="A40" s="31" t="n">
        <v>37</v>
      </c>
      <c r="B40" s="31" t="inlineStr">
        <is>
          <t>Jan</t>
        </is>
      </c>
      <c r="C40" s="31" t="n">
        <v>2</v>
      </c>
      <c r="D40" s="31" t="n">
        <v>13</v>
      </c>
      <c r="E40" s="31" t="inlineStr">
        <is>
          <t>Thu</t>
        </is>
      </c>
      <c r="F40" s="31" t="inlineStr">
        <is>
          <t>NO</t>
        </is>
      </c>
      <c r="G40" s="31" t="n">
        <v>8.2582</v>
      </c>
      <c r="H40" s="31" t="n">
        <v>8.2582</v>
      </c>
      <c r="I40" s="31" t="inlineStr">
        <is>
          <t>GRID_TIED</t>
        </is>
      </c>
    </row>
    <row r="41">
      <c r="A41" s="32" t="n">
        <v>38</v>
      </c>
      <c r="B41" s="32" t="inlineStr">
        <is>
          <t>Jan</t>
        </is>
      </c>
      <c r="C41" s="32" t="n">
        <v>2</v>
      </c>
      <c r="D41" s="32" t="n">
        <v>14</v>
      </c>
      <c r="E41" s="32" t="inlineStr">
        <is>
          <t>Thu</t>
        </is>
      </c>
      <c r="F41" s="32" t="inlineStr">
        <is>
          <t>NO</t>
        </is>
      </c>
      <c r="G41" s="32" t="n">
        <v>8.2582</v>
      </c>
      <c r="H41" s="32" t="n">
        <v>8.2582</v>
      </c>
      <c r="I41" s="32" t="inlineStr">
        <is>
          <t>GRID_TIED</t>
        </is>
      </c>
    </row>
    <row r="42">
      <c r="A42" s="31" t="n">
        <v>39</v>
      </c>
      <c r="B42" s="31" t="inlineStr">
        <is>
          <t>Jan</t>
        </is>
      </c>
      <c r="C42" s="31" t="n">
        <v>2</v>
      </c>
      <c r="D42" s="31" t="n">
        <v>15</v>
      </c>
      <c r="E42" s="31" t="inlineStr">
        <is>
          <t>Thu</t>
        </is>
      </c>
      <c r="F42" s="31" t="inlineStr">
        <is>
          <t>NO</t>
        </is>
      </c>
      <c r="G42" s="31" t="n">
        <v>8.111000000000001</v>
      </c>
      <c r="H42" s="31" t="n">
        <v>8.111000000000001</v>
      </c>
      <c r="I42" s="31" t="inlineStr">
        <is>
          <t>GRID_TIED</t>
        </is>
      </c>
    </row>
    <row r="43">
      <c r="A43" s="32" t="n">
        <v>40</v>
      </c>
      <c r="B43" s="32" t="inlineStr">
        <is>
          <t>Jan</t>
        </is>
      </c>
      <c r="C43" s="32" t="n">
        <v>2</v>
      </c>
      <c r="D43" s="32" t="n">
        <v>16</v>
      </c>
      <c r="E43" s="32" t="inlineStr">
        <is>
          <t>Thu</t>
        </is>
      </c>
      <c r="F43" s="32" t="inlineStr">
        <is>
          <t>NO</t>
        </is>
      </c>
      <c r="G43" s="32" t="n">
        <v>8.111000000000001</v>
      </c>
      <c r="H43" s="32" t="n">
        <v>8.111000000000001</v>
      </c>
      <c r="I43" s="32" t="inlineStr">
        <is>
          <t>GRID_TIED</t>
        </is>
      </c>
    </row>
    <row r="44">
      <c r="A44" s="31" t="n">
        <v>41</v>
      </c>
      <c r="B44" s="31" t="inlineStr">
        <is>
          <t>Jan</t>
        </is>
      </c>
      <c r="C44" s="31" t="n">
        <v>2</v>
      </c>
      <c r="D44" s="31" t="n">
        <v>17</v>
      </c>
      <c r="E44" s="31" t="inlineStr">
        <is>
          <t>Thu</t>
        </is>
      </c>
      <c r="F44" s="31" t="inlineStr">
        <is>
          <t>NO</t>
        </is>
      </c>
      <c r="G44" s="31" t="n">
        <v>7.9823</v>
      </c>
      <c r="H44" s="31" t="n">
        <v>7.9823</v>
      </c>
      <c r="I44" s="31" t="inlineStr">
        <is>
          <t>GRID_TIED</t>
        </is>
      </c>
    </row>
    <row r="45">
      <c r="A45" s="32" t="n">
        <v>42</v>
      </c>
      <c r="B45" s="32" t="inlineStr">
        <is>
          <t>Jan</t>
        </is>
      </c>
      <c r="C45" s="32" t="n">
        <v>2</v>
      </c>
      <c r="D45" s="32" t="n">
        <v>18</v>
      </c>
      <c r="E45" s="32" t="inlineStr">
        <is>
          <t>Thu</t>
        </is>
      </c>
      <c r="F45" s="32" t="inlineStr">
        <is>
          <t>NO</t>
        </is>
      </c>
      <c r="G45" s="32" t="n">
        <v>7.9823</v>
      </c>
      <c r="H45" s="32" t="n">
        <v>7.9823</v>
      </c>
      <c r="I45" s="32" t="inlineStr">
        <is>
          <t>GRID_TIED</t>
        </is>
      </c>
    </row>
    <row r="46">
      <c r="A46" s="31" t="n">
        <v>43</v>
      </c>
      <c r="B46" s="31" t="inlineStr">
        <is>
          <t>Jan</t>
        </is>
      </c>
      <c r="C46" s="31" t="n">
        <v>2</v>
      </c>
      <c r="D46" s="31" t="n">
        <v>19</v>
      </c>
      <c r="E46" s="31" t="inlineStr">
        <is>
          <t>Thu</t>
        </is>
      </c>
      <c r="F46" s="31" t="inlineStr">
        <is>
          <t>NO</t>
        </is>
      </c>
      <c r="G46" s="31" t="n">
        <v>7.8351</v>
      </c>
      <c r="H46" s="31" t="n">
        <v>7.8351</v>
      </c>
      <c r="I46" s="31" t="inlineStr">
        <is>
          <t>IDLE</t>
        </is>
      </c>
    </row>
    <row r="47">
      <c r="A47" s="33" t="n">
        <v>44</v>
      </c>
      <c r="B47" s="33" t="inlineStr">
        <is>
          <t>Jan</t>
        </is>
      </c>
      <c r="C47" s="33" t="n">
        <v>2</v>
      </c>
      <c r="D47" s="33" t="n">
        <v>20</v>
      </c>
      <c r="E47" s="33" t="inlineStr">
        <is>
          <t>Thu</t>
        </is>
      </c>
      <c r="F47" s="33" t="inlineStr">
        <is>
          <t>YES</t>
        </is>
      </c>
      <c r="G47" s="33" t="n">
        <v>7.7064</v>
      </c>
      <c r="H47" s="33" t="n">
        <v>6</v>
      </c>
      <c r="I47" s="33" t="inlineStr">
        <is>
          <t>BLACKOUT</t>
        </is>
      </c>
    </row>
    <row r="48">
      <c r="A48" s="33" t="n">
        <v>45</v>
      </c>
      <c r="B48" s="33" t="inlineStr">
        <is>
          <t>Jan</t>
        </is>
      </c>
      <c r="C48" s="33" t="n">
        <v>2</v>
      </c>
      <c r="D48" s="33" t="n">
        <v>21</v>
      </c>
      <c r="E48" s="33" t="inlineStr">
        <is>
          <t>Thu</t>
        </is>
      </c>
      <c r="F48" s="33" t="inlineStr">
        <is>
          <t>YES</t>
        </is>
      </c>
      <c r="G48" s="33" t="n">
        <v>7.5592</v>
      </c>
      <c r="H48" s="33" t="n">
        <v>6</v>
      </c>
      <c r="I48" s="33" t="inlineStr">
        <is>
          <t>BLACKOUT</t>
        </is>
      </c>
    </row>
    <row r="49">
      <c r="A49" s="33" t="n">
        <v>46</v>
      </c>
      <c r="B49" s="33" t="inlineStr">
        <is>
          <t>Jan</t>
        </is>
      </c>
      <c r="C49" s="33" t="n">
        <v>2</v>
      </c>
      <c r="D49" s="33" t="n">
        <v>22</v>
      </c>
      <c r="E49" s="33" t="inlineStr">
        <is>
          <t>Thu</t>
        </is>
      </c>
      <c r="F49" s="33" t="inlineStr">
        <is>
          <t>YES</t>
        </is>
      </c>
      <c r="G49" s="33" t="n">
        <v>7.2834</v>
      </c>
      <c r="H49" s="33" t="n">
        <v>6</v>
      </c>
      <c r="I49" s="33" t="inlineStr">
        <is>
          <t>BLACKOUT</t>
        </is>
      </c>
    </row>
    <row r="50">
      <c r="A50" s="33" t="n">
        <v>47</v>
      </c>
      <c r="B50" s="33" t="inlineStr">
        <is>
          <t>Jan</t>
        </is>
      </c>
      <c r="C50" s="33" t="n">
        <v>2</v>
      </c>
      <c r="D50" s="33" t="n">
        <v>23</v>
      </c>
      <c r="E50" s="33" t="inlineStr">
        <is>
          <t>Thu</t>
        </is>
      </c>
      <c r="F50" s="33" t="inlineStr">
        <is>
          <t>YES</t>
        </is>
      </c>
      <c r="G50" s="33" t="n">
        <v>7.1362</v>
      </c>
      <c r="H50" s="33" t="n">
        <v>6</v>
      </c>
      <c r="I50" s="33" t="inlineStr">
        <is>
          <t>BLACKOUT</t>
        </is>
      </c>
    </row>
    <row r="51">
      <c r="A51" s="33" t="n">
        <v>48</v>
      </c>
      <c r="B51" s="33" t="inlineStr">
        <is>
          <t>Jan</t>
        </is>
      </c>
      <c r="C51" s="33" t="n">
        <v>2</v>
      </c>
      <c r="D51" s="33" t="n">
        <v>24</v>
      </c>
      <c r="E51" s="33" t="inlineStr">
        <is>
          <t>Thu</t>
        </is>
      </c>
      <c r="F51" s="33" t="inlineStr">
        <is>
          <t>YES</t>
        </is>
      </c>
      <c r="G51" s="33" t="n">
        <v>7.0075</v>
      </c>
      <c r="H51" s="33" t="n">
        <v>6</v>
      </c>
      <c r="I51" s="33" t="inlineStr">
        <is>
          <t>BLACKOUT</t>
        </is>
      </c>
    </row>
    <row r="52">
      <c r="A52" s="33" t="n">
        <v>49</v>
      </c>
      <c r="B52" s="33" t="inlineStr">
        <is>
          <t>Jan</t>
        </is>
      </c>
      <c r="C52" s="33" t="n">
        <v>3</v>
      </c>
      <c r="D52" s="33" t="n">
        <v>1</v>
      </c>
      <c r="E52" s="33" t="inlineStr">
        <is>
          <t>Fri</t>
        </is>
      </c>
      <c r="F52" s="33" t="inlineStr">
        <is>
          <t>YES</t>
        </is>
      </c>
      <c r="G52" s="33" t="n">
        <v>7.0075</v>
      </c>
      <c r="H52" s="33" t="n">
        <v>6</v>
      </c>
      <c r="I52" s="33" t="inlineStr">
        <is>
          <t>BLACKOUT</t>
        </is>
      </c>
    </row>
    <row r="53">
      <c r="A53" s="33" t="n">
        <v>50</v>
      </c>
      <c r="B53" s="33" t="inlineStr">
        <is>
          <t>Jan</t>
        </is>
      </c>
      <c r="C53" s="33" t="n">
        <v>3</v>
      </c>
      <c r="D53" s="33" t="n">
        <v>2</v>
      </c>
      <c r="E53" s="33" t="inlineStr">
        <is>
          <t>Fri</t>
        </is>
      </c>
      <c r="F53" s="33" t="inlineStr">
        <is>
          <t>YES</t>
        </is>
      </c>
      <c r="G53" s="33" t="n">
        <v>7.0075</v>
      </c>
      <c r="H53" s="33" t="n">
        <v>6</v>
      </c>
      <c r="I53" s="33" t="inlineStr">
        <is>
          <t>BLACKOUT</t>
        </is>
      </c>
    </row>
    <row r="54">
      <c r="A54" s="33" t="n">
        <v>51</v>
      </c>
      <c r="B54" s="33" t="inlineStr">
        <is>
          <t>Jan</t>
        </is>
      </c>
      <c r="C54" s="33" t="n">
        <v>3</v>
      </c>
      <c r="D54" s="33" t="n">
        <v>3</v>
      </c>
      <c r="E54" s="33" t="inlineStr">
        <is>
          <t>Fri</t>
        </is>
      </c>
      <c r="F54" s="33" t="inlineStr">
        <is>
          <t>YES</t>
        </is>
      </c>
      <c r="G54" s="33" t="n">
        <v>7.1362</v>
      </c>
      <c r="H54" s="33" t="n">
        <v>6</v>
      </c>
      <c r="I54" s="33" t="inlineStr">
        <is>
          <t>BLACKOUT</t>
        </is>
      </c>
    </row>
    <row r="55">
      <c r="A55" s="32" t="n">
        <v>52</v>
      </c>
      <c r="B55" s="32" t="inlineStr">
        <is>
          <t>Jan</t>
        </is>
      </c>
      <c r="C55" s="32" t="n">
        <v>3</v>
      </c>
      <c r="D55" s="32" t="n">
        <v>4</v>
      </c>
      <c r="E55" s="32" t="inlineStr">
        <is>
          <t>Fri</t>
        </is>
      </c>
      <c r="F55" s="32" t="inlineStr">
        <is>
          <t>NO</t>
        </is>
      </c>
      <c r="G55" s="32" t="n">
        <v>7.2834</v>
      </c>
      <c r="H55" s="32" t="n">
        <v>7.2834</v>
      </c>
      <c r="I55" s="32" t="inlineStr">
        <is>
          <t>IDLE</t>
        </is>
      </c>
    </row>
    <row r="56">
      <c r="A56" s="31" t="n">
        <v>53</v>
      </c>
      <c r="B56" s="31" t="inlineStr">
        <is>
          <t>Jan</t>
        </is>
      </c>
      <c r="C56" s="31" t="n">
        <v>3</v>
      </c>
      <c r="D56" s="31" t="n">
        <v>5</v>
      </c>
      <c r="E56" s="31" t="inlineStr">
        <is>
          <t>Fri</t>
        </is>
      </c>
      <c r="F56" s="31" t="inlineStr">
        <is>
          <t>NO</t>
        </is>
      </c>
      <c r="G56" s="31" t="n">
        <v>7.2834</v>
      </c>
      <c r="H56" s="31" t="n">
        <v>7.2834</v>
      </c>
      <c r="I56" s="31" t="inlineStr">
        <is>
          <t>IDLE</t>
        </is>
      </c>
    </row>
    <row r="57">
      <c r="A57" s="32" t="n">
        <v>54</v>
      </c>
      <c r="B57" s="32" t="inlineStr">
        <is>
          <t>Jan</t>
        </is>
      </c>
      <c r="C57" s="32" t="n">
        <v>3</v>
      </c>
      <c r="D57" s="32" t="n">
        <v>6</v>
      </c>
      <c r="E57" s="32" t="inlineStr">
        <is>
          <t>Fri</t>
        </is>
      </c>
      <c r="F57" s="32" t="inlineStr">
        <is>
          <t>NO</t>
        </is>
      </c>
      <c r="G57" s="32" t="n">
        <v>7.4121</v>
      </c>
      <c r="H57" s="32" t="n">
        <v>7.4121</v>
      </c>
      <c r="I57" s="32" t="inlineStr">
        <is>
          <t>IDLE</t>
        </is>
      </c>
    </row>
    <row r="58">
      <c r="A58" s="31" t="n">
        <v>55</v>
      </c>
      <c r="B58" s="31" t="inlineStr">
        <is>
          <t>Jan</t>
        </is>
      </c>
      <c r="C58" s="31" t="n">
        <v>3</v>
      </c>
      <c r="D58" s="31" t="n">
        <v>7</v>
      </c>
      <c r="E58" s="31" t="inlineStr">
        <is>
          <t>Fri</t>
        </is>
      </c>
      <c r="F58" s="31" t="inlineStr">
        <is>
          <t>NO</t>
        </is>
      </c>
      <c r="G58" s="31" t="n">
        <v>7.7064</v>
      </c>
      <c r="H58" s="31" t="n">
        <v>7.7064</v>
      </c>
      <c r="I58" s="31" t="inlineStr">
        <is>
          <t>IDLE</t>
        </is>
      </c>
    </row>
    <row r="59">
      <c r="A59" s="32" t="n">
        <v>56</v>
      </c>
      <c r="B59" s="32" t="inlineStr">
        <is>
          <t>Jan</t>
        </is>
      </c>
      <c r="C59" s="32" t="n">
        <v>3</v>
      </c>
      <c r="D59" s="32" t="n">
        <v>8</v>
      </c>
      <c r="E59" s="32" t="inlineStr">
        <is>
          <t>Fri</t>
        </is>
      </c>
      <c r="F59" s="32" t="inlineStr">
        <is>
          <t>NO</t>
        </is>
      </c>
      <c r="G59" s="32" t="n">
        <v>7.7064</v>
      </c>
      <c r="H59" s="32" t="n">
        <v>7.7064</v>
      </c>
      <c r="I59" s="32" t="inlineStr">
        <is>
          <t>CHARGING</t>
        </is>
      </c>
    </row>
    <row r="60">
      <c r="A60" s="31" t="n">
        <v>57</v>
      </c>
      <c r="B60" s="31" t="inlineStr">
        <is>
          <t>Jan</t>
        </is>
      </c>
      <c r="C60" s="31" t="n">
        <v>3</v>
      </c>
      <c r="D60" s="31" t="n">
        <v>9</v>
      </c>
      <c r="E60" s="31" t="inlineStr">
        <is>
          <t>Fri</t>
        </is>
      </c>
      <c r="F60" s="31" t="inlineStr">
        <is>
          <t>NO</t>
        </is>
      </c>
      <c r="G60" s="31" t="n">
        <v>7.9823</v>
      </c>
      <c r="H60" s="31" t="n">
        <v>7.9823</v>
      </c>
      <c r="I60" s="31" t="inlineStr">
        <is>
          <t>CHARGING</t>
        </is>
      </c>
    </row>
    <row r="61">
      <c r="A61" s="32" t="n">
        <v>58</v>
      </c>
      <c r="B61" s="32" t="inlineStr">
        <is>
          <t>Jan</t>
        </is>
      </c>
      <c r="C61" s="32" t="n">
        <v>3</v>
      </c>
      <c r="D61" s="32" t="n">
        <v>10</v>
      </c>
      <c r="E61" s="32" t="inlineStr">
        <is>
          <t>Fri</t>
        </is>
      </c>
      <c r="F61" s="32" t="inlineStr">
        <is>
          <t>NO</t>
        </is>
      </c>
      <c r="G61" s="32" t="n">
        <v>7.9823</v>
      </c>
      <c r="H61" s="32" t="n">
        <v>7.9823</v>
      </c>
      <c r="I61" s="32" t="inlineStr">
        <is>
          <t>CHARGING</t>
        </is>
      </c>
    </row>
    <row r="62">
      <c r="A62" s="31" t="n">
        <v>59</v>
      </c>
      <c r="B62" s="31" t="inlineStr">
        <is>
          <t>Jan</t>
        </is>
      </c>
      <c r="C62" s="31" t="n">
        <v>3</v>
      </c>
      <c r="D62" s="31" t="n">
        <v>11</v>
      </c>
      <c r="E62" s="31" t="inlineStr">
        <is>
          <t>Fri</t>
        </is>
      </c>
      <c r="F62" s="31" t="inlineStr">
        <is>
          <t>NO</t>
        </is>
      </c>
      <c r="G62" s="31" t="n">
        <v>8.111000000000001</v>
      </c>
      <c r="H62" s="31" t="n">
        <v>8.111000000000001</v>
      </c>
      <c r="I62" s="31" t="inlineStr">
        <is>
          <t>CHARGING</t>
        </is>
      </c>
    </row>
    <row r="63">
      <c r="A63" s="32" t="n">
        <v>60</v>
      </c>
      <c r="B63" s="32" t="inlineStr">
        <is>
          <t>Jan</t>
        </is>
      </c>
      <c r="C63" s="32" t="n">
        <v>3</v>
      </c>
      <c r="D63" s="32" t="n">
        <v>12</v>
      </c>
      <c r="E63" s="32" t="inlineStr">
        <is>
          <t>Fri</t>
        </is>
      </c>
      <c r="F63" s="32" t="inlineStr">
        <is>
          <t>NO</t>
        </is>
      </c>
      <c r="G63" s="32" t="n">
        <v>8.111000000000001</v>
      </c>
      <c r="H63" s="32" t="n">
        <v>8.111000000000001</v>
      </c>
      <c r="I63" s="32" t="inlineStr">
        <is>
          <t>CHARGING</t>
        </is>
      </c>
    </row>
    <row r="64">
      <c r="A64" s="31" t="n">
        <v>61</v>
      </c>
      <c r="B64" s="31" t="inlineStr">
        <is>
          <t>Jan</t>
        </is>
      </c>
      <c r="C64" s="31" t="n">
        <v>3</v>
      </c>
      <c r="D64" s="31" t="n">
        <v>13</v>
      </c>
      <c r="E64" s="31" t="inlineStr">
        <is>
          <t>Fri</t>
        </is>
      </c>
      <c r="F64" s="31" t="inlineStr">
        <is>
          <t>NO</t>
        </is>
      </c>
      <c r="G64" s="31" t="n">
        <v>8.2582</v>
      </c>
      <c r="H64" s="31" t="n">
        <v>8.2582</v>
      </c>
      <c r="I64" s="31" t="inlineStr">
        <is>
          <t>CHARGING</t>
        </is>
      </c>
    </row>
    <row r="65">
      <c r="A65" s="32" t="n">
        <v>62</v>
      </c>
      <c r="B65" s="32" t="inlineStr">
        <is>
          <t>Jan</t>
        </is>
      </c>
      <c r="C65" s="32" t="n">
        <v>3</v>
      </c>
      <c r="D65" s="32" t="n">
        <v>14</v>
      </c>
      <c r="E65" s="32" t="inlineStr">
        <is>
          <t>Fri</t>
        </is>
      </c>
      <c r="F65" s="32" t="inlineStr">
        <is>
          <t>NO</t>
        </is>
      </c>
      <c r="G65" s="32" t="n">
        <v>8.2582</v>
      </c>
      <c r="H65" s="32" t="n">
        <v>8.2582</v>
      </c>
      <c r="I65" s="32" t="inlineStr">
        <is>
          <t>CHARGING</t>
        </is>
      </c>
    </row>
    <row r="66">
      <c r="A66" s="31" t="n">
        <v>63</v>
      </c>
      <c r="B66" s="31" t="inlineStr">
        <is>
          <t>Jan</t>
        </is>
      </c>
      <c r="C66" s="31" t="n">
        <v>3</v>
      </c>
      <c r="D66" s="31" t="n">
        <v>15</v>
      </c>
      <c r="E66" s="31" t="inlineStr">
        <is>
          <t>Fri</t>
        </is>
      </c>
      <c r="F66" s="31" t="inlineStr">
        <is>
          <t>NO</t>
        </is>
      </c>
      <c r="G66" s="31" t="n">
        <v>8.111000000000001</v>
      </c>
      <c r="H66" s="31" t="n">
        <v>8.111000000000001</v>
      </c>
      <c r="I66" s="31" t="inlineStr">
        <is>
          <t>CHARGING</t>
        </is>
      </c>
    </row>
    <row r="67">
      <c r="A67" s="32" t="n">
        <v>64</v>
      </c>
      <c r="B67" s="32" t="inlineStr">
        <is>
          <t>Jan</t>
        </is>
      </c>
      <c r="C67" s="32" t="n">
        <v>3</v>
      </c>
      <c r="D67" s="32" t="n">
        <v>16</v>
      </c>
      <c r="E67" s="32" t="inlineStr">
        <is>
          <t>Fri</t>
        </is>
      </c>
      <c r="F67" s="32" t="inlineStr">
        <is>
          <t>NO</t>
        </is>
      </c>
      <c r="G67" s="32" t="n">
        <v>8.111000000000001</v>
      </c>
      <c r="H67" s="32" t="n">
        <v>8.111000000000001</v>
      </c>
      <c r="I67" s="32" t="inlineStr">
        <is>
          <t>CHARGING</t>
        </is>
      </c>
    </row>
    <row r="68">
      <c r="A68" s="31" t="n">
        <v>65</v>
      </c>
      <c r="B68" s="31" t="inlineStr">
        <is>
          <t>Jan</t>
        </is>
      </c>
      <c r="C68" s="31" t="n">
        <v>3</v>
      </c>
      <c r="D68" s="31" t="n">
        <v>17</v>
      </c>
      <c r="E68" s="31" t="inlineStr">
        <is>
          <t>Fri</t>
        </is>
      </c>
      <c r="F68" s="31" t="inlineStr">
        <is>
          <t>NO</t>
        </is>
      </c>
      <c r="G68" s="31" t="n">
        <v>7.9823</v>
      </c>
      <c r="H68" s="31" t="n">
        <v>7.9823</v>
      </c>
      <c r="I68" s="31" t="inlineStr">
        <is>
          <t>CHARGING</t>
        </is>
      </c>
    </row>
    <row r="69">
      <c r="A69" s="32" t="n">
        <v>66</v>
      </c>
      <c r="B69" s="32" t="inlineStr">
        <is>
          <t>Jan</t>
        </is>
      </c>
      <c r="C69" s="32" t="n">
        <v>3</v>
      </c>
      <c r="D69" s="32" t="n">
        <v>18</v>
      </c>
      <c r="E69" s="32" t="inlineStr">
        <is>
          <t>Fri</t>
        </is>
      </c>
      <c r="F69" s="32" t="inlineStr">
        <is>
          <t>NO</t>
        </is>
      </c>
      <c r="G69" s="32" t="n">
        <v>7.9823</v>
      </c>
      <c r="H69" s="32" t="n">
        <v>7.9823</v>
      </c>
      <c r="I69" s="32" t="inlineStr">
        <is>
          <t>CHARGING</t>
        </is>
      </c>
    </row>
    <row r="70">
      <c r="A70" s="31" t="n">
        <v>67</v>
      </c>
      <c r="B70" s="31" t="inlineStr">
        <is>
          <t>Jan</t>
        </is>
      </c>
      <c r="C70" s="31" t="n">
        <v>3</v>
      </c>
      <c r="D70" s="31" t="n">
        <v>19</v>
      </c>
      <c r="E70" s="31" t="inlineStr">
        <is>
          <t>Fri</t>
        </is>
      </c>
      <c r="F70" s="31" t="inlineStr">
        <is>
          <t>NO</t>
        </is>
      </c>
      <c r="G70" s="31" t="n">
        <v>7.8351</v>
      </c>
      <c r="H70" s="31" t="n">
        <v>7.8351</v>
      </c>
      <c r="I70" s="31" t="inlineStr">
        <is>
          <t>IDLE</t>
        </is>
      </c>
    </row>
    <row r="71">
      <c r="A71" s="32" t="n">
        <v>68</v>
      </c>
      <c r="B71" s="32" t="inlineStr">
        <is>
          <t>Jan</t>
        </is>
      </c>
      <c r="C71" s="32" t="n">
        <v>3</v>
      </c>
      <c r="D71" s="32" t="n">
        <v>20</v>
      </c>
      <c r="E71" s="32" t="inlineStr">
        <is>
          <t>Fri</t>
        </is>
      </c>
      <c r="F71" s="32" t="inlineStr">
        <is>
          <t>NO</t>
        </is>
      </c>
      <c r="G71" s="32" t="n">
        <v>7.7064</v>
      </c>
      <c r="H71" s="32" t="n">
        <v>7.7064</v>
      </c>
      <c r="I71" s="32" t="inlineStr">
        <is>
          <t>IDLE</t>
        </is>
      </c>
    </row>
    <row r="72">
      <c r="A72" s="31" t="n">
        <v>69</v>
      </c>
      <c r="B72" s="31" t="inlineStr">
        <is>
          <t>Jan</t>
        </is>
      </c>
      <c r="C72" s="31" t="n">
        <v>3</v>
      </c>
      <c r="D72" s="31" t="n">
        <v>21</v>
      </c>
      <c r="E72" s="31" t="inlineStr">
        <is>
          <t>Fri</t>
        </is>
      </c>
      <c r="F72" s="31" t="inlineStr">
        <is>
          <t>NO</t>
        </is>
      </c>
      <c r="G72" s="31" t="n">
        <v>7.5592</v>
      </c>
      <c r="H72" s="31" t="n">
        <v>7.5592</v>
      </c>
      <c r="I72" s="31" t="inlineStr">
        <is>
          <t>IDLE</t>
        </is>
      </c>
    </row>
    <row r="73">
      <c r="A73" s="32" t="n">
        <v>70</v>
      </c>
      <c r="B73" s="32" t="inlineStr">
        <is>
          <t>Jan</t>
        </is>
      </c>
      <c r="C73" s="32" t="n">
        <v>3</v>
      </c>
      <c r="D73" s="32" t="n">
        <v>22</v>
      </c>
      <c r="E73" s="32" t="inlineStr">
        <is>
          <t>Fri</t>
        </is>
      </c>
      <c r="F73" s="32" t="inlineStr">
        <is>
          <t>NO</t>
        </is>
      </c>
      <c r="G73" s="32" t="n">
        <v>7.2834</v>
      </c>
      <c r="H73" s="32" t="n">
        <v>7.2834</v>
      </c>
      <c r="I73" s="32" t="inlineStr">
        <is>
          <t>IDLE</t>
        </is>
      </c>
    </row>
    <row r="74">
      <c r="A74" s="31" t="n">
        <v>71</v>
      </c>
      <c r="B74" s="31" t="inlineStr">
        <is>
          <t>Jan</t>
        </is>
      </c>
      <c r="C74" s="31" t="n">
        <v>3</v>
      </c>
      <c r="D74" s="31" t="n">
        <v>23</v>
      </c>
      <c r="E74" s="31" t="inlineStr">
        <is>
          <t>Fri</t>
        </is>
      </c>
      <c r="F74" s="31" t="inlineStr">
        <is>
          <t>NO</t>
        </is>
      </c>
      <c r="G74" s="31" t="n">
        <v>7.1362</v>
      </c>
      <c r="H74" s="31" t="n">
        <v>7.1362</v>
      </c>
      <c r="I74" s="31" t="inlineStr">
        <is>
          <t>IDLE</t>
        </is>
      </c>
    </row>
    <row r="75">
      <c r="A75" s="32" t="n">
        <v>72</v>
      </c>
      <c r="B75" s="32" t="inlineStr">
        <is>
          <t>Jan</t>
        </is>
      </c>
      <c r="C75" s="32" t="n">
        <v>3</v>
      </c>
      <c r="D75" s="32" t="n">
        <v>24</v>
      </c>
      <c r="E75" s="32" t="inlineStr">
        <is>
          <t>Fri</t>
        </is>
      </c>
      <c r="F75" s="32" t="inlineStr">
        <is>
          <t>NO</t>
        </is>
      </c>
      <c r="G75" s="32" t="n">
        <v>7.0075</v>
      </c>
      <c r="H75" s="32" t="n">
        <v>7.0075</v>
      </c>
      <c r="I75" s="32" t="inlineStr">
        <is>
          <t>IDLE</t>
        </is>
      </c>
    </row>
    <row r="76">
      <c r="A76" s="31" t="n">
        <v>73</v>
      </c>
      <c r="B76" s="31" t="inlineStr">
        <is>
          <t>Jan</t>
        </is>
      </c>
      <c r="C76" s="31" t="n">
        <v>4</v>
      </c>
      <c r="D76" s="31" t="n">
        <v>1</v>
      </c>
      <c r="E76" s="31" t="inlineStr">
        <is>
          <t>Sat</t>
        </is>
      </c>
      <c r="F76" s="31" t="inlineStr">
        <is>
          <t>NO</t>
        </is>
      </c>
      <c r="G76" s="31" t="n">
        <v>7.0075</v>
      </c>
      <c r="H76" s="31" t="n">
        <v>7.0075</v>
      </c>
      <c r="I76" s="31" t="inlineStr">
        <is>
          <t>IDLE</t>
        </is>
      </c>
    </row>
    <row r="77">
      <c r="A77" s="32" t="n">
        <v>74</v>
      </c>
      <c r="B77" s="32" t="inlineStr">
        <is>
          <t>Jan</t>
        </is>
      </c>
      <c r="C77" s="32" t="n">
        <v>4</v>
      </c>
      <c r="D77" s="32" t="n">
        <v>2</v>
      </c>
      <c r="E77" s="32" t="inlineStr">
        <is>
          <t>Sat</t>
        </is>
      </c>
      <c r="F77" s="32" t="inlineStr">
        <is>
          <t>NO</t>
        </is>
      </c>
      <c r="G77" s="32" t="n">
        <v>7.0075</v>
      </c>
      <c r="H77" s="32" t="n">
        <v>7.0075</v>
      </c>
      <c r="I77" s="32" t="inlineStr">
        <is>
          <t>IDLE</t>
        </is>
      </c>
    </row>
    <row r="78">
      <c r="A78" s="31" t="n">
        <v>75</v>
      </c>
      <c r="B78" s="31" t="inlineStr">
        <is>
          <t>Jan</t>
        </is>
      </c>
      <c r="C78" s="31" t="n">
        <v>4</v>
      </c>
      <c r="D78" s="31" t="n">
        <v>3</v>
      </c>
      <c r="E78" s="31" t="inlineStr">
        <is>
          <t>Sat</t>
        </is>
      </c>
      <c r="F78" s="31" t="inlineStr">
        <is>
          <t>NO</t>
        </is>
      </c>
      <c r="G78" s="31" t="n">
        <v>7.1362</v>
      </c>
      <c r="H78" s="31" t="n">
        <v>7.1362</v>
      </c>
      <c r="I78" s="31" t="inlineStr">
        <is>
          <t>IDLE</t>
        </is>
      </c>
    </row>
    <row r="79">
      <c r="A79" s="32" t="n">
        <v>76</v>
      </c>
      <c r="B79" s="32" t="inlineStr">
        <is>
          <t>Jan</t>
        </is>
      </c>
      <c r="C79" s="32" t="n">
        <v>4</v>
      </c>
      <c r="D79" s="32" t="n">
        <v>4</v>
      </c>
      <c r="E79" s="32" t="inlineStr">
        <is>
          <t>Sat</t>
        </is>
      </c>
      <c r="F79" s="32" t="inlineStr">
        <is>
          <t>NO</t>
        </is>
      </c>
      <c r="G79" s="32" t="n">
        <v>7.2834</v>
      </c>
      <c r="H79" s="32" t="n">
        <v>7.2834</v>
      </c>
      <c r="I79" s="32" t="inlineStr">
        <is>
          <t>IDLE</t>
        </is>
      </c>
    </row>
    <row r="80">
      <c r="A80" s="31" t="n">
        <v>77</v>
      </c>
      <c r="B80" s="31" t="inlineStr">
        <is>
          <t>Jan</t>
        </is>
      </c>
      <c r="C80" s="31" t="n">
        <v>4</v>
      </c>
      <c r="D80" s="31" t="n">
        <v>5</v>
      </c>
      <c r="E80" s="31" t="inlineStr">
        <is>
          <t>Sat</t>
        </is>
      </c>
      <c r="F80" s="31" t="inlineStr">
        <is>
          <t>NO</t>
        </is>
      </c>
      <c r="G80" s="31" t="n">
        <v>7.2834</v>
      </c>
      <c r="H80" s="31" t="n">
        <v>7.2834</v>
      </c>
      <c r="I80" s="31" t="inlineStr">
        <is>
          <t>IDLE</t>
        </is>
      </c>
    </row>
    <row r="81">
      <c r="A81" s="32" t="n">
        <v>78</v>
      </c>
      <c r="B81" s="32" t="inlineStr">
        <is>
          <t>Jan</t>
        </is>
      </c>
      <c r="C81" s="32" t="n">
        <v>4</v>
      </c>
      <c r="D81" s="32" t="n">
        <v>6</v>
      </c>
      <c r="E81" s="32" t="inlineStr">
        <is>
          <t>Sat</t>
        </is>
      </c>
      <c r="F81" s="32" t="inlineStr">
        <is>
          <t>NO</t>
        </is>
      </c>
      <c r="G81" s="32" t="n">
        <v>7.4121</v>
      </c>
      <c r="H81" s="32" t="n">
        <v>7.4121</v>
      </c>
      <c r="I81" s="32" t="inlineStr">
        <is>
          <t>IDLE</t>
        </is>
      </c>
    </row>
    <row r="82">
      <c r="A82" s="31" t="n">
        <v>79</v>
      </c>
      <c r="B82" s="31" t="inlineStr">
        <is>
          <t>Jan</t>
        </is>
      </c>
      <c r="C82" s="31" t="n">
        <v>4</v>
      </c>
      <c r="D82" s="31" t="n">
        <v>7</v>
      </c>
      <c r="E82" s="31" t="inlineStr">
        <is>
          <t>Sat</t>
        </is>
      </c>
      <c r="F82" s="31" t="inlineStr">
        <is>
          <t>NO</t>
        </is>
      </c>
      <c r="G82" s="31" t="n">
        <v>7.7064</v>
      </c>
      <c r="H82" s="31" t="n">
        <v>7.7064</v>
      </c>
      <c r="I82" s="31" t="inlineStr">
        <is>
          <t>IDLE</t>
        </is>
      </c>
    </row>
    <row r="83">
      <c r="A83" s="32" t="n">
        <v>80</v>
      </c>
      <c r="B83" s="32" t="inlineStr">
        <is>
          <t>Jan</t>
        </is>
      </c>
      <c r="C83" s="32" t="n">
        <v>4</v>
      </c>
      <c r="D83" s="32" t="n">
        <v>8</v>
      </c>
      <c r="E83" s="32" t="inlineStr">
        <is>
          <t>Sat</t>
        </is>
      </c>
      <c r="F83" s="32" t="inlineStr">
        <is>
          <t>NO</t>
        </is>
      </c>
      <c r="G83" s="32" t="n">
        <v>7.7064</v>
      </c>
      <c r="H83" s="32" t="n">
        <v>7.7064</v>
      </c>
      <c r="I83" s="32" t="inlineStr">
        <is>
          <t>CHARGING</t>
        </is>
      </c>
    </row>
    <row r="84">
      <c r="A84" s="31" t="n">
        <v>81</v>
      </c>
      <c r="B84" s="31" t="inlineStr">
        <is>
          <t>Jan</t>
        </is>
      </c>
      <c r="C84" s="31" t="n">
        <v>4</v>
      </c>
      <c r="D84" s="31" t="n">
        <v>9</v>
      </c>
      <c r="E84" s="31" t="inlineStr">
        <is>
          <t>Sat</t>
        </is>
      </c>
      <c r="F84" s="31" t="inlineStr">
        <is>
          <t>NO</t>
        </is>
      </c>
      <c r="G84" s="31" t="n">
        <v>7.9823</v>
      </c>
      <c r="H84" s="31" t="n">
        <v>7.9823</v>
      </c>
      <c r="I84" s="31" t="inlineStr">
        <is>
          <t>CHARGING</t>
        </is>
      </c>
    </row>
    <row r="85">
      <c r="A85" s="32" t="n">
        <v>82</v>
      </c>
      <c r="B85" s="32" t="inlineStr">
        <is>
          <t>Jan</t>
        </is>
      </c>
      <c r="C85" s="32" t="n">
        <v>4</v>
      </c>
      <c r="D85" s="32" t="n">
        <v>10</v>
      </c>
      <c r="E85" s="32" t="inlineStr">
        <is>
          <t>Sat</t>
        </is>
      </c>
      <c r="F85" s="32" t="inlineStr">
        <is>
          <t>NO</t>
        </is>
      </c>
      <c r="G85" s="32" t="n">
        <v>7.9823</v>
      </c>
      <c r="H85" s="32" t="n">
        <v>7.9823</v>
      </c>
      <c r="I85" s="32" t="inlineStr">
        <is>
          <t>CHARGING</t>
        </is>
      </c>
    </row>
    <row r="86">
      <c r="A86" s="31" t="n">
        <v>83</v>
      </c>
      <c r="B86" s="31" t="inlineStr">
        <is>
          <t>Jan</t>
        </is>
      </c>
      <c r="C86" s="31" t="n">
        <v>4</v>
      </c>
      <c r="D86" s="31" t="n">
        <v>11</v>
      </c>
      <c r="E86" s="31" t="inlineStr">
        <is>
          <t>Sat</t>
        </is>
      </c>
      <c r="F86" s="31" t="inlineStr">
        <is>
          <t>NO</t>
        </is>
      </c>
      <c r="G86" s="31" t="n">
        <v>8.111000000000001</v>
      </c>
      <c r="H86" s="31" t="n">
        <v>8.111000000000001</v>
      </c>
      <c r="I86" s="31" t="inlineStr">
        <is>
          <t>CHARGING</t>
        </is>
      </c>
    </row>
    <row r="87">
      <c r="A87" s="32" t="n">
        <v>84</v>
      </c>
      <c r="B87" s="32" t="inlineStr">
        <is>
          <t>Jan</t>
        </is>
      </c>
      <c r="C87" s="32" t="n">
        <v>4</v>
      </c>
      <c r="D87" s="32" t="n">
        <v>12</v>
      </c>
      <c r="E87" s="32" t="inlineStr">
        <is>
          <t>Sat</t>
        </is>
      </c>
      <c r="F87" s="32" t="inlineStr">
        <is>
          <t>NO</t>
        </is>
      </c>
      <c r="G87" s="32" t="n">
        <v>8.111000000000001</v>
      </c>
      <c r="H87" s="32" t="n">
        <v>8.111000000000001</v>
      </c>
      <c r="I87" s="32" t="inlineStr">
        <is>
          <t>CHARGING</t>
        </is>
      </c>
    </row>
    <row r="88">
      <c r="A88" s="31" t="n">
        <v>85</v>
      </c>
      <c r="B88" s="31" t="inlineStr">
        <is>
          <t>Jan</t>
        </is>
      </c>
      <c r="C88" s="31" t="n">
        <v>4</v>
      </c>
      <c r="D88" s="31" t="n">
        <v>13</v>
      </c>
      <c r="E88" s="31" t="inlineStr">
        <is>
          <t>Sat</t>
        </is>
      </c>
      <c r="F88" s="31" t="inlineStr">
        <is>
          <t>NO</t>
        </is>
      </c>
      <c r="G88" s="31" t="n">
        <v>8.2582</v>
      </c>
      <c r="H88" s="31" t="n">
        <v>8.2582</v>
      </c>
      <c r="I88" s="31" t="inlineStr">
        <is>
          <t>CHARGING</t>
        </is>
      </c>
    </row>
    <row r="89">
      <c r="A89" s="32" t="n">
        <v>86</v>
      </c>
      <c r="B89" s="32" t="inlineStr">
        <is>
          <t>Jan</t>
        </is>
      </c>
      <c r="C89" s="32" t="n">
        <v>4</v>
      </c>
      <c r="D89" s="32" t="n">
        <v>14</v>
      </c>
      <c r="E89" s="32" t="inlineStr">
        <is>
          <t>Sat</t>
        </is>
      </c>
      <c r="F89" s="32" t="inlineStr">
        <is>
          <t>NO</t>
        </is>
      </c>
      <c r="G89" s="32" t="n">
        <v>8.2582</v>
      </c>
      <c r="H89" s="32" t="n">
        <v>8.2582</v>
      </c>
      <c r="I89" s="32" t="inlineStr">
        <is>
          <t>CHARGING</t>
        </is>
      </c>
    </row>
    <row r="90">
      <c r="A90" s="31" t="n">
        <v>87</v>
      </c>
      <c r="B90" s="31" t="inlineStr">
        <is>
          <t>Jan</t>
        </is>
      </c>
      <c r="C90" s="31" t="n">
        <v>4</v>
      </c>
      <c r="D90" s="31" t="n">
        <v>15</v>
      </c>
      <c r="E90" s="31" t="inlineStr">
        <is>
          <t>Sat</t>
        </is>
      </c>
      <c r="F90" s="31" t="inlineStr">
        <is>
          <t>NO</t>
        </is>
      </c>
      <c r="G90" s="31" t="n">
        <v>8.111000000000001</v>
      </c>
      <c r="H90" s="31" t="n">
        <v>8.111000000000001</v>
      </c>
      <c r="I90" s="31" t="inlineStr">
        <is>
          <t>CHARGING</t>
        </is>
      </c>
    </row>
    <row r="91">
      <c r="A91" s="32" t="n">
        <v>88</v>
      </c>
      <c r="B91" s="32" t="inlineStr">
        <is>
          <t>Jan</t>
        </is>
      </c>
      <c r="C91" s="32" t="n">
        <v>4</v>
      </c>
      <c r="D91" s="32" t="n">
        <v>16</v>
      </c>
      <c r="E91" s="32" t="inlineStr">
        <is>
          <t>Sat</t>
        </is>
      </c>
      <c r="F91" s="32" t="inlineStr">
        <is>
          <t>NO</t>
        </is>
      </c>
      <c r="G91" s="32" t="n">
        <v>8.111000000000001</v>
      </c>
      <c r="H91" s="32" t="n">
        <v>8.111000000000001</v>
      </c>
      <c r="I91" s="32" t="inlineStr">
        <is>
          <t>CHARGING</t>
        </is>
      </c>
    </row>
    <row r="92">
      <c r="A92" s="31" t="n">
        <v>89</v>
      </c>
      <c r="B92" s="31" t="inlineStr">
        <is>
          <t>Jan</t>
        </is>
      </c>
      <c r="C92" s="31" t="n">
        <v>4</v>
      </c>
      <c r="D92" s="31" t="n">
        <v>17</v>
      </c>
      <c r="E92" s="31" t="inlineStr">
        <is>
          <t>Sat</t>
        </is>
      </c>
      <c r="F92" s="31" t="inlineStr">
        <is>
          <t>NO</t>
        </is>
      </c>
      <c r="G92" s="31" t="n">
        <v>7.9823</v>
      </c>
      <c r="H92" s="31" t="n">
        <v>7.9823</v>
      </c>
      <c r="I92" s="31" t="inlineStr">
        <is>
          <t>CHARGING</t>
        </is>
      </c>
    </row>
    <row r="93">
      <c r="A93" s="32" t="n">
        <v>90</v>
      </c>
      <c r="B93" s="32" t="inlineStr">
        <is>
          <t>Jan</t>
        </is>
      </c>
      <c r="C93" s="32" t="n">
        <v>4</v>
      </c>
      <c r="D93" s="32" t="n">
        <v>18</v>
      </c>
      <c r="E93" s="32" t="inlineStr">
        <is>
          <t>Sat</t>
        </is>
      </c>
      <c r="F93" s="32" t="inlineStr">
        <is>
          <t>NO</t>
        </is>
      </c>
      <c r="G93" s="32" t="n">
        <v>7.9823</v>
      </c>
      <c r="H93" s="32" t="n">
        <v>7.9823</v>
      </c>
      <c r="I93" s="32" t="inlineStr">
        <is>
          <t>CHARGING</t>
        </is>
      </c>
    </row>
    <row r="94">
      <c r="A94" s="31" t="n">
        <v>91</v>
      </c>
      <c r="B94" s="31" t="inlineStr">
        <is>
          <t>Jan</t>
        </is>
      </c>
      <c r="C94" s="31" t="n">
        <v>4</v>
      </c>
      <c r="D94" s="31" t="n">
        <v>19</v>
      </c>
      <c r="E94" s="31" t="inlineStr">
        <is>
          <t>Sat</t>
        </is>
      </c>
      <c r="F94" s="31" t="inlineStr">
        <is>
          <t>NO</t>
        </is>
      </c>
      <c r="G94" s="31" t="n">
        <v>7.8351</v>
      </c>
      <c r="H94" s="31" t="n">
        <v>7.8351</v>
      </c>
      <c r="I94" s="31" t="inlineStr">
        <is>
          <t>IDLE</t>
        </is>
      </c>
    </row>
    <row r="95">
      <c r="A95" s="32" t="n">
        <v>92</v>
      </c>
      <c r="B95" s="32" t="inlineStr">
        <is>
          <t>Jan</t>
        </is>
      </c>
      <c r="C95" s="32" t="n">
        <v>4</v>
      </c>
      <c r="D95" s="32" t="n">
        <v>20</v>
      </c>
      <c r="E95" s="32" t="inlineStr">
        <is>
          <t>Sat</t>
        </is>
      </c>
      <c r="F95" s="32" t="inlineStr">
        <is>
          <t>NO</t>
        </is>
      </c>
      <c r="G95" s="32" t="n">
        <v>7.7064</v>
      </c>
      <c r="H95" s="32" t="n">
        <v>7.7064</v>
      </c>
      <c r="I95" s="32" t="inlineStr">
        <is>
          <t>IDLE</t>
        </is>
      </c>
    </row>
    <row r="96">
      <c r="A96" s="31" t="n">
        <v>93</v>
      </c>
      <c r="B96" s="31" t="inlineStr">
        <is>
          <t>Jan</t>
        </is>
      </c>
      <c r="C96" s="31" t="n">
        <v>4</v>
      </c>
      <c r="D96" s="31" t="n">
        <v>21</v>
      </c>
      <c r="E96" s="31" t="inlineStr">
        <is>
          <t>Sat</t>
        </is>
      </c>
      <c r="F96" s="31" t="inlineStr">
        <is>
          <t>NO</t>
        </is>
      </c>
      <c r="G96" s="31" t="n">
        <v>7.5592</v>
      </c>
      <c r="H96" s="31" t="n">
        <v>7.5592</v>
      </c>
      <c r="I96" s="31" t="inlineStr">
        <is>
          <t>IDLE</t>
        </is>
      </c>
    </row>
    <row r="97">
      <c r="A97" s="32" t="n">
        <v>94</v>
      </c>
      <c r="B97" s="32" t="inlineStr">
        <is>
          <t>Jan</t>
        </is>
      </c>
      <c r="C97" s="32" t="n">
        <v>4</v>
      </c>
      <c r="D97" s="32" t="n">
        <v>22</v>
      </c>
      <c r="E97" s="32" t="inlineStr">
        <is>
          <t>Sat</t>
        </is>
      </c>
      <c r="F97" s="32" t="inlineStr">
        <is>
          <t>NO</t>
        </is>
      </c>
      <c r="G97" s="32" t="n">
        <v>7.2834</v>
      </c>
      <c r="H97" s="32" t="n">
        <v>7.2834</v>
      </c>
      <c r="I97" s="32" t="inlineStr">
        <is>
          <t>IDLE</t>
        </is>
      </c>
    </row>
    <row r="98">
      <c r="A98" s="31" t="n">
        <v>95</v>
      </c>
      <c r="B98" s="31" t="inlineStr">
        <is>
          <t>Jan</t>
        </is>
      </c>
      <c r="C98" s="31" t="n">
        <v>4</v>
      </c>
      <c r="D98" s="31" t="n">
        <v>23</v>
      </c>
      <c r="E98" s="31" t="inlineStr">
        <is>
          <t>Sat</t>
        </is>
      </c>
      <c r="F98" s="31" t="inlineStr">
        <is>
          <t>NO</t>
        </is>
      </c>
      <c r="G98" s="31" t="n">
        <v>7.1362</v>
      </c>
      <c r="H98" s="31" t="n">
        <v>7.1362</v>
      </c>
      <c r="I98" s="31" t="inlineStr">
        <is>
          <t>IDLE</t>
        </is>
      </c>
    </row>
    <row r="99">
      <c r="A99" s="32" t="n">
        <v>96</v>
      </c>
      <c r="B99" s="32" t="inlineStr">
        <is>
          <t>Jan</t>
        </is>
      </c>
      <c r="C99" s="32" t="n">
        <v>4</v>
      </c>
      <c r="D99" s="32" t="n">
        <v>24</v>
      </c>
      <c r="E99" s="32" t="inlineStr">
        <is>
          <t>Sat</t>
        </is>
      </c>
      <c r="F99" s="32" t="inlineStr">
        <is>
          <t>NO</t>
        </is>
      </c>
      <c r="G99" s="32" t="n">
        <v>7.0075</v>
      </c>
      <c r="H99" s="32" t="n">
        <v>7.0075</v>
      </c>
      <c r="I99" s="32" t="inlineStr">
        <is>
          <t>IDLE</t>
        </is>
      </c>
    </row>
    <row r="100">
      <c r="A100" s="31" t="n">
        <v>97</v>
      </c>
      <c r="B100" s="31" t="inlineStr">
        <is>
          <t>Jan</t>
        </is>
      </c>
      <c r="C100" s="31" t="n">
        <v>5</v>
      </c>
      <c r="D100" s="31" t="n">
        <v>1</v>
      </c>
      <c r="E100" s="31" t="inlineStr">
        <is>
          <t>Sun</t>
        </is>
      </c>
      <c r="F100" s="31" t="inlineStr">
        <is>
          <t>NO</t>
        </is>
      </c>
      <c r="G100" s="31" t="n">
        <v>7.0075</v>
      </c>
      <c r="H100" s="31" t="n">
        <v>7.0075</v>
      </c>
      <c r="I100" s="31" t="inlineStr">
        <is>
          <t>IDLE</t>
        </is>
      </c>
    </row>
    <row r="101">
      <c r="A101" s="32" t="n">
        <v>98</v>
      </c>
      <c r="B101" s="32" t="inlineStr">
        <is>
          <t>Jan</t>
        </is>
      </c>
      <c r="C101" s="32" t="n">
        <v>5</v>
      </c>
      <c r="D101" s="32" t="n">
        <v>2</v>
      </c>
      <c r="E101" s="32" t="inlineStr">
        <is>
          <t>Sun</t>
        </is>
      </c>
      <c r="F101" s="32" t="inlineStr">
        <is>
          <t>NO</t>
        </is>
      </c>
      <c r="G101" s="32" t="n">
        <v>7.0075</v>
      </c>
      <c r="H101" s="32" t="n">
        <v>7.0075</v>
      </c>
      <c r="I101" s="32" t="inlineStr">
        <is>
          <t>IDLE</t>
        </is>
      </c>
    </row>
    <row r="102">
      <c r="A102" s="31" t="n">
        <v>99</v>
      </c>
      <c r="B102" s="31" t="inlineStr">
        <is>
          <t>Jan</t>
        </is>
      </c>
      <c r="C102" s="31" t="n">
        <v>5</v>
      </c>
      <c r="D102" s="31" t="n">
        <v>3</v>
      </c>
      <c r="E102" s="31" t="inlineStr">
        <is>
          <t>Sun</t>
        </is>
      </c>
      <c r="F102" s="31" t="inlineStr">
        <is>
          <t>NO</t>
        </is>
      </c>
      <c r="G102" s="31" t="n">
        <v>7.1362</v>
      </c>
      <c r="H102" s="31" t="n">
        <v>7.1362</v>
      </c>
      <c r="I102" s="31" t="inlineStr">
        <is>
          <t>IDLE</t>
        </is>
      </c>
    </row>
    <row r="103">
      <c r="A103" s="32" t="n">
        <v>100</v>
      </c>
      <c r="B103" s="32" t="inlineStr">
        <is>
          <t>Jan</t>
        </is>
      </c>
      <c r="C103" s="32" t="n">
        <v>5</v>
      </c>
      <c r="D103" s="32" t="n">
        <v>4</v>
      </c>
      <c r="E103" s="32" t="inlineStr">
        <is>
          <t>Sun</t>
        </is>
      </c>
      <c r="F103" s="32" t="inlineStr">
        <is>
          <t>NO</t>
        </is>
      </c>
      <c r="G103" s="32" t="n">
        <v>7.2834</v>
      </c>
      <c r="H103" s="32" t="n">
        <v>7.2834</v>
      </c>
      <c r="I103" s="32" t="inlineStr">
        <is>
          <t>IDLE</t>
        </is>
      </c>
    </row>
    <row r="104">
      <c r="A104" s="31" t="n">
        <v>101</v>
      </c>
      <c r="B104" s="31" t="inlineStr">
        <is>
          <t>Jan</t>
        </is>
      </c>
      <c r="C104" s="31" t="n">
        <v>5</v>
      </c>
      <c r="D104" s="31" t="n">
        <v>5</v>
      </c>
      <c r="E104" s="31" t="inlineStr">
        <is>
          <t>Sun</t>
        </is>
      </c>
      <c r="F104" s="31" t="inlineStr">
        <is>
          <t>NO</t>
        </is>
      </c>
      <c r="G104" s="31" t="n">
        <v>7.2834</v>
      </c>
      <c r="H104" s="31" t="n">
        <v>7.2834</v>
      </c>
      <c r="I104" s="31" t="inlineStr">
        <is>
          <t>IDLE</t>
        </is>
      </c>
    </row>
    <row r="105">
      <c r="A105" s="32" t="n">
        <v>102</v>
      </c>
      <c r="B105" s="32" t="inlineStr">
        <is>
          <t>Jan</t>
        </is>
      </c>
      <c r="C105" s="32" t="n">
        <v>5</v>
      </c>
      <c r="D105" s="32" t="n">
        <v>6</v>
      </c>
      <c r="E105" s="32" t="inlineStr">
        <is>
          <t>Sun</t>
        </is>
      </c>
      <c r="F105" s="32" t="inlineStr">
        <is>
          <t>NO</t>
        </is>
      </c>
      <c r="G105" s="32" t="n">
        <v>7.4121</v>
      </c>
      <c r="H105" s="32" t="n">
        <v>7.4121</v>
      </c>
      <c r="I105" s="32" t="inlineStr">
        <is>
          <t>IDLE</t>
        </is>
      </c>
    </row>
    <row r="106">
      <c r="A106" s="31" t="n">
        <v>103</v>
      </c>
      <c r="B106" s="31" t="inlineStr">
        <is>
          <t>Jan</t>
        </is>
      </c>
      <c r="C106" s="31" t="n">
        <v>5</v>
      </c>
      <c r="D106" s="31" t="n">
        <v>7</v>
      </c>
      <c r="E106" s="31" t="inlineStr">
        <is>
          <t>Sun</t>
        </is>
      </c>
      <c r="F106" s="31" t="inlineStr">
        <is>
          <t>NO</t>
        </is>
      </c>
      <c r="G106" s="31" t="n">
        <v>7.7064</v>
      </c>
      <c r="H106" s="31" t="n">
        <v>7.7064</v>
      </c>
      <c r="I106" s="31" t="inlineStr">
        <is>
          <t>IDLE</t>
        </is>
      </c>
    </row>
    <row r="107">
      <c r="A107" s="32" t="n">
        <v>104</v>
      </c>
      <c r="B107" s="32" t="inlineStr">
        <is>
          <t>Jan</t>
        </is>
      </c>
      <c r="C107" s="32" t="n">
        <v>5</v>
      </c>
      <c r="D107" s="32" t="n">
        <v>8</v>
      </c>
      <c r="E107" s="32" t="inlineStr">
        <is>
          <t>Sun</t>
        </is>
      </c>
      <c r="F107" s="32" t="inlineStr">
        <is>
          <t>NO</t>
        </is>
      </c>
      <c r="G107" s="32" t="n">
        <v>7.7064</v>
      </c>
      <c r="H107" s="32" t="n">
        <v>7.7064</v>
      </c>
      <c r="I107" s="32" t="inlineStr">
        <is>
          <t>CHARGING</t>
        </is>
      </c>
    </row>
    <row r="108">
      <c r="A108" s="31" t="n">
        <v>105</v>
      </c>
      <c r="B108" s="31" t="inlineStr">
        <is>
          <t>Jan</t>
        </is>
      </c>
      <c r="C108" s="31" t="n">
        <v>5</v>
      </c>
      <c r="D108" s="31" t="n">
        <v>9</v>
      </c>
      <c r="E108" s="31" t="inlineStr">
        <is>
          <t>Sun</t>
        </is>
      </c>
      <c r="F108" s="31" t="inlineStr">
        <is>
          <t>NO</t>
        </is>
      </c>
      <c r="G108" s="31" t="n">
        <v>7.9823</v>
      </c>
      <c r="H108" s="31" t="n">
        <v>7.9823</v>
      </c>
      <c r="I108" s="31" t="inlineStr">
        <is>
          <t>CHARGING</t>
        </is>
      </c>
    </row>
    <row r="109">
      <c r="A109" s="32" t="n">
        <v>106</v>
      </c>
      <c r="B109" s="32" t="inlineStr">
        <is>
          <t>Jan</t>
        </is>
      </c>
      <c r="C109" s="32" t="n">
        <v>5</v>
      </c>
      <c r="D109" s="32" t="n">
        <v>10</v>
      </c>
      <c r="E109" s="32" t="inlineStr">
        <is>
          <t>Sun</t>
        </is>
      </c>
      <c r="F109" s="32" t="inlineStr">
        <is>
          <t>NO</t>
        </is>
      </c>
      <c r="G109" s="32" t="n">
        <v>7.9823</v>
      </c>
      <c r="H109" s="32" t="n">
        <v>7.9823</v>
      </c>
      <c r="I109" s="32" t="inlineStr">
        <is>
          <t>CHARGING</t>
        </is>
      </c>
    </row>
    <row r="110">
      <c r="A110" s="31" t="n">
        <v>107</v>
      </c>
      <c r="B110" s="31" t="inlineStr">
        <is>
          <t>Jan</t>
        </is>
      </c>
      <c r="C110" s="31" t="n">
        <v>5</v>
      </c>
      <c r="D110" s="31" t="n">
        <v>11</v>
      </c>
      <c r="E110" s="31" t="inlineStr">
        <is>
          <t>Sun</t>
        </is>
      </c>
      <c r="F110" s="31" t="inlineStr">
        <is>
          <t>NO</t>
        </is>
      </c>
      <c r="G110" s="31" t="n">
        <v>8.111000000000001</v>
      </c>
      <c r="H110" s="31" t="n">
        <v>8.111000000000001</v>
      </c>
      <c r="I110" s="31" t="inlineStr">
        <is>
          <t>CHARGING</t>
        </is>
      </c>
    </row>
    <row r="111">
      <c r="A111" s="32" t="n">
        <v>108</v>
      </c>
      <c r="B111" s="32" t="inlineStr">
        <is>
          <t>Jan</t>
        </is>
      </c>
      <c r="C111" s="32" t="n">
        <v>5</v>
      </c>
      <c r="D111" s="32" t="n">
        <v>12</v>
      </c>
      <c r="E111" s="32" t="inlineStr">
        <is>
          <t>Sun</t>
        </is>
      </c>
      <c r="F111" s="32" t="inlineStr">
        <is>
          <t>NO</t>
        </is>
      </c>
      <c r="G111" s="32" t="n">
        <v>8.111000000000001</v>
      </c>
      <c r="H111" s="32" t="n">
        <v>8.111000000000001</v>
      </c>
      <c r="I111" s="32" t="inlineStr">
        <is>
          <t>CHARGING</t>
        </is>
      </c>
    </row>
    <row r="112">
      <c r="A112" s="31" t="n">
        <v>109</v>
      </c>
      <c r="B112" s="31" t="inlineStr">
        <is>
          <t>Jan</t>
        </is>
      </c>
      <c r="C112" s="31" t="n">
        <v>5</v>
      </c>
      <c r="D112" s="31" t="n">
        <v>13</v>
      </c>
      <c r="E112" s="31" t="inlineStr">
        <is>
          <t>Sun</t>
        </is>
      </c>
      <c r="F112" s="31" t="inlineStr">
        <is>
          <t>NO</t>
        </is>
      </c>
      <c r="G112" s="31" t="n">
        <v>8.2582</v>
      </c>
      <c r="H112" s="31" t="n">
        <v>8.2582</v>
      </c>
      <c r="I112" s="31" t="inlineStr">
        <is>
          <t>CHARGING</t>
        </is>
      </c>
    </row>
    <row r="113">
      <c r="A113" s="32" t="n">
        <v>110</v>
      </c>
      <c r="B113" s="32" t="inlineStr">
        <is>
          <t>Jan</t>
        </is>
      </c>
      <c r="C113" s="32" t="n">
        <v>5</v>
      </c>
      <c r="D113" s="32" t="n">
        <v>14</v>
      </c>
      <c r="E113" s="32" t="inlineStr">
        <is>
          <t>Sun</t>
        </is>
      </c>
      <c r="F113" s="32" t="inlineStr">
        <is>
          <t>NO</t>
        </is>
      </c>
      <c r="G113" s="32" t="n">
        <v>8.2582</v>
      </c>
      <c r="H113" s="32" t="n">
        <v>8.2582</v>
      </c>
      <c r="I113" s="32" t="inlineStr">
        <is>
          <t>CHARGING</t>
        </is>
      </c>
    </row>
    <row r="114">
      <c r="A114" s="31" t="n">
        <v>111</v>
      </c>
      <c r="B114" s="31" t="inlineStr">
        <is>
          <t>Jan</t>
        </is>
      </c>
      <c r="C114" s="31" t="n">
        <v>5</v>
      </c>
      <c r="D114" s="31" t="n">
        <v>15</v>
      </c>
      <c r="E114" s="31" t="inlineStr">
        <is>
          <t>Sun</t>
        </is>
      </c>
      <c r="F114" s="31" t="inlineStr">
        <is>
          <t>NO</t>
        </is>
      </c>
      <c r="G114" s="31" t="n">
        <v>8.111000000000001</v>
      </c>
      <c r="H114" s="31" t="n">
        <v>8.111000000000001</v>
      </c>
      <c r="I114" s="31" t="inlineStr">
        <is>
          <t>CHARGING</t>
        </is>
      </c>
    </row>
    <row r="115">
      <c r="A115" s="32" t="n">
        <v>112</v>
      </c>
      <c r="B115" s="32" t="inlineStr">
        <is>
          <t>Jan</t>
        </is>
      </c>
      <c r="C115" s="32" t="n">
        <v>5</v>
      </c>
      <c r="D115" s="32" t="n">
        <v>16</v>
      </c>
      <c r="E115" s="32" t="inlineStr">
        <is>
          <t>Sun</t>
        </is>
      </c>
      <c r="F115" s="32" t="inlineStr">
        <is>
          <t>NO</t>
        </is>
      </c>
      <c r="G115" s="32" t="n">
        <v>8.111000000000001</v>
      </c>
      <c r="H115" s="32" t="n">
        <v>8.111000000000001</v>
      </c>
      <c r="I115" s="32" t="inlineStr">
        <is>
          <t>CHARGING</t>
        </is>
      </c>
    </row>
    <row r="116">
      <c r="A116" s="31" t="n">
        <v>113</v>
      </c>
      <c r="B116" s="31" t="inlineStr">
        <is>
          <t>Jan</t>
        </is>
      </c>
      <c r="C116" s="31" t="n">
        <v>5</v>
      </c>
      <c r="D116" s="31" t="n">
        <v>17</v>
      </c>
      <c r="E116" s="31" t="inlineStr">
        <is>
          <t>Sun</t>
        </is>
      </c>
      <c r="F116" s="31" t="inlineStr">
        <is>
          <t>NO</t>
        </is>
      </c>
      <c r="G116" s="31" t="n">
        <v>7.9823</v>
      </c>
      <c r="H116" s="31" t="n">
        <v>7.9823</v>
      </c>
      <c r="I116" s="31" t="inlineStr">
        <is>
          <t>GRID_TIED</t>
        </is>
      </c>
    </row>
    <row r="117">
      <c r="A117" s="32" t="n">
        <v>114</v>
      </c>
      <c r="B117" s="32" t="inlineStr">
        <is>
          <t>Jan</t>
        </is>
      </c>
      <c r="C117" s="32" t="n">
        <v>5</v>
      </c>
      <c r="D117" s="32" t="n">
        <v>18</v>
      </c>
      <c r="E117" s="32" t="inlineStr">
        <is>
          <t>Sun</t>
        </is>
      </c>
      <c r="F117" s="32" t="inlineStr">
        <is>
          <t>NO</t>
        </is>
      </c>
      <c r="G117" s="32" t="n">
        <v>7.9823</v>
      </c>
      <c r="H117" s="32" t="n">
        <v>7.9823</v>
      </c>
      <c r="I117" s="32" t="inlineStr">
        <is>
          <t>GRID_TIED</t>
        </is>
      </c>
    </row>
    <row r="118">
      <c r="A118" s="31" t="n">
        <v>115</v>
      </c>
      <c r="B118" s="31" t="inlineStr">
        <is>
          <t>Jan</t>
        </is>
      </c>
      <c r="C118" s="31" t="n">
        <v>5</v>
      </c>
      <c r="D118" s="31" t="n">
        <v>19</v>
      </c>
      <c r="E118" s="31" t="inlineStr">
        <is>
          <t>Sun</t>
        </is>
      </c>
      <c r="F118" s="31" t="inlineStr">
        <is>
          <t>NO</t>
        </is>
      </c>
      <c r="G118" s="31" t="n">
        <v>7.8351</v>
      </c>
      <c r="H118" s="31" t="n">
        <v>7.8351</v>
      </c>
      <c r="I118" s="31" t="inlineStr">
        <is>
          <t>IDLE</t>
        </is>
      </c>
    </row>
    <row r="119">
      <c r="A119" s="32" t="n">
        <v>116</v>
      </c>
      <c r="B119" s="32" t="inlineStr">
        <is>
          <t>Jan</t>
        </is>
      </c>
      <c r="C119" s="32" t="n">
        <v>5</v>
      </c>
      <c r="D119" s="32" t="n">
        <v>20</v>
      </c>
      <c r="E119" s="32" t="inlineStr">
        <is>
          <t>Sun</t>
        </is>
      </c>
      <c r="F119" s="32" t="inlineStr">
        <is>
          <t>NO</t>
        </is>
      </c>
      <c r="G119" s="32" t="n">
        <v>7.7064</v>
      </c>
      <c r="H119" s="32" t="n">
        <v>7.7064</v>
      </c>
      <c r="I119" s="32" t="inlineStr">
        <is>
          <t>IDLE</t>
        </is>
      </c>
    </row>
    <row r="120">
      <c r="A120" s="31" t="n">
        <v>117</v>
      </c>
      <c r="B120" s="31" t="inlineStr">
        <is>
          <t>Jan</t>
        </is>
      </c>
      <c r="C120" s="31" t="n">
        <v>5</v>
      </c>
      <c r="D120" s="31" t="n">
        <v>21</v>
      </c>
      <c r="E120" s="31" t="inlineStr">
        <is>
          <t>Sun</t>
        </is>
      </c>
      <c r="F120" s="31" t="inlineStr">
        <is>
          <t>NO</t>
        </is>
      </c>
      <c r="G120" s="31" t="n">
        <v>7.5592</v>
      </c>
      <c r="H120" s="31" t="n">
        <v>7.5592</v>
      </c>
      <c r="I120" s="31" t="inlineStr">
        <is>
          <t>IDLE</t>
        </is>
      </c>
    </row>
    <row r="121">
      <c r="A121" s="32" t="n">
        <v>118</v>
      </c>
      <c r="B121" s="32" t="inlineStr">
        <is>
          <t>Jan</t>
        </is>
      </c>
      <c r="C121" s="32" t="n">
        <v>5</v>
      </c>
      <c r="D121" s="32" t="n">
        <v>22</v>
      </c>
      <c r="E121" s="32" t="inlineStr">
        <is>
          <t>Sun</t>
        </is>
      </c>
      <c r="F121" s="32" t="inlineStr">
        <is>
          <t>NO</t>
        </is>
      </c>
      <c r="G121" s="32" t="n">
        <v>7.2834</v>
      </c>
      <c r="H121" s="32" t="n">
        <v>7.2834</v>
      </c>
      <c r="I121" s="32" t="inlineStr">
        <is>
          <t>IDLE</t>
        </is>
      </c>
    </row>
    <row r="122">
      <c r="A122" s="31" t="n">
        <v>119</v>
      </c>
      <c r="B122" s="31" t="inlineStr">
        <is>
          <t>Jan</t>
        </is>
      </c>
      <c r="C122" s="31" t="n">
        <v>5</v>
      </c>
      <c r="D122" s="31" t="n">
        <v>23</v>
      </c>
      <c r="E122" s="31" t="inlineStr">
        <is>
          <t>Sun</t>
        </is>
      </c>
      <c r="F122" s="31" t="inlineStr">
        <is>
          <t>NO</t>
        </is>
      </c>
      <c r="G122" s="31" t="n">
        <v>7.1362</v>
      </c>
      <c r="H122" s="31" t="n">
        <v>7.1362</v>
      </c>
      <c r="I122" s="31" t="inlineStr">
        <is>
          <t>IDLE</t>
        </is>
      </c>
    </row>
    <row r="123">
      <c r="A123" s="32" t="n">
        <v>120</v>
      </c>
      <c r="B123" s="32" t="inlineStr">
        <is>
          <t>Jan</t>
        </is>
      </c>
      <c r="C123" s="32" t="n">
        <v>5</v>
      </c>
      <c r="D123" s="32" t="n">
        <v>24</v>
      </c>
      <c r="E123" s="32" t="inlineStr">
        <is>
          <t>Sun</t>
        </is>
      </c>
      <c r="F123" s="32" t="inlineStr">
        <is>
          <t>NO</t>
        </is>
      </c>
      <c r="G123" s="32" t="n">
        <v>7.0075</v>
      </c>
      <c r="H123" s="32" t="n">
        <v>7.0075</v>
      </c>
      <c r="I123" s="32" t="inlineStr">
        <is>
          <t>IDLE</t>
        </is>
      </c>
    </row>
    <row r="124">
      <c r="A124" s="31" t="n">
        <v>121</v>
      </c>
      <c r="B124" s="31" t="inlineStr">
        <is>
          <t>Jan</t>
        </is>
      </c>
      <c r="C124" s="31" t="n">
        <v>6</v>
      </c>
      <c r="D124" s="31" t="n">
        <v>1</v>
      </c>
      <c r="E124" s="31" t="inlineStr">
        <is>
          <t>Mon</t>
        </is>
      </c>
      <c r="F124" s="31" t="inlineStr">
        <is>
          <t>NO</t>
        </is>
      </c>
      <c r="G124" s="31" t="n">
        <v>7.0075</v>
      </c>
      <c r="H124" s="31" t="n">
        <v>7.0075</v>
      </c>
      <c r="I124" s="31" t="inlineStr">
        <is>
          <t>IDLE</t>
        </is>
      </c>
    </row>
    <row r="125">
      <c r="A125" s="32" t="n">
        <v>122</v>
      </c>
      <c r="B125" s="32" t="inlineStr">
        <is>
          <t>Jan</t>
        </is>
      </c>
      <c r="C125" s="32" t="n">
        <v>6</v>
      </c>
      <c r="D125" s="32" t="n">
        <v>2</v>
      </c>
      <c r="E125" s="32" t="inlineStr">
        <is>
          <t>Mon</t>
        </is>
      </c>
      <c r="F125" s="32" t="inlineStr">
        <is>
          <t>NO</t>
        </is>
      </c>
      <c r="G125" s="32" t="n">
        <v>7.0075</v>
      </c>
      <c r="H125" s="32" t="n">
        <v>7.0075</v>
      </c>
      <c r="I125" s="32" t="inlineStr">
        <is>
          <t>IDLE</t>
        </is>
      </c>
    </row>
    <row r="126">
      <c r="A126" s="31" t="n">
        <v>123</v>
      </c>
      <c r="B126" s="31" t="inlineStr">
        <is>
          <t>Jan</t>
        </is>
      </c>
      <c r="C126" s="31" t="n">
        <v>6</v>
      </c>
      <c r="D126" s="31" t="n">
        <v>3</v>
      </c>
      <c r="E126" s="31" t="inlineStr">
        <is>
          <t>Mon</t>
        </is>
      </c>
      <c r="F126" s="31" t="inlineStr">
        <is>
          <t>NO</t>
        </is>
      </c>
      <c r="G126" s="31" t="n">
        <v>7.1362</v>
      </c>
      <c r="H126" s="31" t="n">
        <v>7.1362</v>
      </c>
      <c r="I126" s="31" t="inlineStr">
        <is>
          <t>IDLE</t>
        </is>
      </c>
    </row>
    <row r="127">
      <c r="A127" s="32" t="n">
        <v>124</v>
      </c>
      <c r="B127" s="32" t="inlineStr">
        <is>
          <t>Jan</t>
        </is>
      </c>
      <c r="C127" s="32" t="n">
        <v>6</v>
      </c>
      <c r="D127" s="32" t="n">
        <v>4</v>
      </c>
      <c r="E127" s="32" t="inlineStr">
        <is>
          <t>Mon</t>
        </is>
      </c>
      <c r="F127" s="32" t="inlineStr">
        <is>
          <t>NO</t>
        </is>
      </c>
      <c r="G127" s="32" t="n">
        <v>7.2834</v>
      </c>
      <c r="H127" s="32" t="n">
        <v>7.2834</v>
      </c>
      <c r="I127" s="32" t="inlineStr">
        <is>
          <t>IDLE</t>
        </is>
      </c>
    </row>
    <row r="128">
      <c r="A128" s="31" t="n">
        <v>125</v>
      </c>
      <c r="B128" s="31" t="inlineStr">
        <is>
          <t>Jan</t>
        </is>
      </c>
      <c r="C128" s="31" t="n">
        <v>6</v>
      </c>
      <c r="D128" s="31" t="n">
        <v>5</v>
      </c>
      <c r="E128" s="31" t="inlineStr">
        <is>
          <t>Mon</t>
        </is>
      </c>
      <c r="F128" s="31" t="inlineStr">
        <is>
          <t>NO</t>
        </is>
      </c>
      <c r="G128" s="31" t="n">
        <v>7.2834</v>
      </c>
      <c r="H128" s="31" t="n">
        <v>7.2834</v>
      </c>
      <c r="I128" s="31" t="inlineStr">
        <is>
          <t>IDLE</t>
        </is>
      </c>
    </row>
    <row r="129">
      <c r="A129" s="32" t="n">
        <v>126</v>
      </c>
      <c r="B129" s="32" t="inlineStr">
        <is>
          <t>Jan</t>
        </is>
      </c>
      <c r="C129" s="32" t="n">
        <v>6</v>
      </c>
      <c r="D129" s="32" t="n">
        <v>6</v>
      </c>
      <c r="E129" s="32" t="inlineStr">
        <is>
          <t>Mon</t>
        </is>
      </c>
      <c r="F129" s="32" t="inlineStr">
        <is>
          <t>NO</t>
        </is>
      </c>
      <c r="G129" s="32" t="n">
        <v>7.4121</v>
      </c>
      <c r="H129" s="32" t="n">
        <v>7.4121</v>
      </c>
      <c r="I129" s="32" t="inlineStr">
        <is>
          <t>IDLE</t>
        </is>
      </c>
    </row>
    <row r="130">
      <c r="A130" s="31" t="n">
        <v>127</v>
      </c>
      <c r="B130" s="31" t="inlineStr">
        <is>
          <t>Jan</t>
        </is>
      </c>
      <c r="C130" s="31" t="n">
        <v>6</v>
      </c>
      <c r="D130" s="31" t="n">
        <v>7</v>
      </c>
      <c r="E130" s="31" t="inlineStr">
        <is>
          <t>Mon</t>
        </is>
      </c>
      <c r="F130" s="31" t="inlineStr">
        <is>
          <t>NO</t>
        </is>
      </c>
      <c r="G130" s="31" t="n">
        <v>7.7064</v>
      </c>
      <c r="H130" s="31" t="n">
        <v>7.7064</v>
      </c>
      <c r="I130" s="31" t="inlineStr">
        <is>
          <t>IDLE</t>
        </is>
      </c>
    </row>
    <row r="131">
      <c r="A131" s="32" t="n">
        <v>128</v>
      </c>
      <c r="B131" s="32" t="inlineStr">
        <is>
          <t>Jan</t>
        </is>
      </c>
      <c r="C131" s="32" t="n">
        <v>6</v>
      </c>
      <c r="D131" s="32" t="n">
        <v>8</v>
      </c>
      <c r="E131" s="32" t="inlineStr">
        <is>
          <t>Mon</t>
        </is>
      </c>
      <c r="F131" s="32" t="inlineStr">
        <is>
          <t>NO</t>
        </is>
      </c>
      <c r="G131" s="32" t="n">
        <v>7.7064</v>
      </c>
      <c r="H131" s="32" t="n">
        <v>7.7064</v>
      </c>
      <c r="I131" s="32" t="inlineStr">
        <is>
          <t>GRID_TIED</t>
        </is>
      </c>
    </row>
    <row r="132">
      <c r="A132" s="31" t="n">
        <v>129</v>
      </c>
      <c r="B132" s="31" t="inlineStr">
        <is>
          <t>Jan</t>
        </is>
      </c>
      <c r="C132" s="31" t="n">
        <v>6</v>
      </c>
      <c r="D132" s="31" t="n">
        <v>9</v>
      </c>
      <c r="E132" s="31" t="inlineStr">
        <is>
          <t>Mon</t>
        </is>
      </c>
      <c r="F132" s="31" t="inlineStr">
        <is>
          <t>NO</t>
        </is>
      </c>
      <c r="G132" s="31" t="n">
        <v>7.9823</v>
      </c>
      <c r="H132" s="31" t="n">
        <v>7.9823</v>
      </c>
      <c r="I132" s="31" t="inlineStr">
        <is>
          <t>GRID_TIED</t>
        </is>
      </c>
    </row>
    <row r="133">
      <c r="A133" s="32" t="n">
        <v>130</v>
      </c>
      <c r="B133" s="32" t="inlineStr">
        <is>
          <t>Jan</t>
        </is>
      </c>
      <c r="C133" s="32" t="n">
        <v>6</v>
      </c>
      <c r="D133" s="32" t="n">
        <v>10</v>
      </c>
      <c r="E133" s="32" t="inlineStr">
        <is>
          <t>Mon</t>
        </is>
      </c>
      <c r="F133" s="32" t="inlineStr">
        <is>
          <t>NO</t>
        </is>
      </c>
      <c r="G133" s="32" t="n">
        <v>7.9823</v>
      </c>
      <c r="H133" s="32" t="n">
        <v>7.9823</v>
      </c>
      <c r="I133" s="32" t="inlineStr">
        <is>
          <t>GRID_TIED</t>
        </is>
      </c>
    </row>
    <row r="134">
      <c r="A134" s="31" t="n">
        <v>131</v>
      </c>
      <c r="B134" s="31" t="inlineStr">
        <is>
          <t>Jan</t>
        </is>
      </c>
      <c r="C134" s="31" t="n">
        <v>6</v>
      </c>
      <c r="D134" s="31" t="n">
        <v>11</v>
      </c>
      <c r="E134" s="31" t="inlineStr">
        <is>
          <t>Mon</t>
        </is>
      </c>
      <c r="F134" s="31" t="inlineStr">
        <is>
          <t>NO</t>
        </is>
      </c>
      <c r="G134" s="31" t="n">
        <v>8.111000000000001</v>
      </c>
      <c r="H134" s="31" t="n">
        <v>8.111000000000001</v>
      </c>
      <c r="I134" s="31" t="inlineStr">
        <is>
          <t>GRID_TIED</t>
        </is>
      </c>
    </row>
    <row r="135">
      <c r="A135" s="32" t="n">
        <v>132</v>
      </c>
      <c r="B135" s="32" t="inlineStr">
        <is>
          <t>Jan</t>
        </is>
      </c>
      <c r="C135" s="32" t="n">
        <v>6</v>
      </c>
      <c r="D135" s="32" t="n">
        <v>12</v>
      </c>
      <c r="E135" s="32" t="inlineStr">
        <is>
          <t>Mon</t>
        </is>
      </c>
      <c r="F135" s="32" t="inlineStr">
        <is>
          <t>NO</t>
        </is>
      </c>
      <c r="G135" s="32" t="n">
        <v>8.111000000000001</v>
      </c>
      <c r="H135" s="32" t="n">
        <v>8.111000000000001</v>
      </c>
      <c r="I135" s="32" t="inlineStr">
        <is>
          <t>GRID_TIED</t>
        </is>
      </c>
    </row>
    <row r="136">
      <c r="A136" s="31" t="n">
        <v>133</v>
      </c>
      <c r="B136" s="31" t="inlineStr">
        <is>
          <t>Jan</t>
        </is>
      </c>
      <c r="C136" s="31" t="n">
        <v>6</v>
      </c>
      <c r="D136" s="31" t="n">
        <v>13</v>
      </c>
      <c r="E136" s="31" t="inlineStr">
        <is>
          <t>Mon</t>
        </is>
      </c>
      <c r="F136" s="31" t="inlineStr">
        <is>
          <t>NO</t>
        </is>
      </c>
      <c r="G136" s="31" t="n">
        <v>8.2582</v>
      </c>
      <c r="H136" s="31" t="n">
        <v>8.2582</v>
      </c>
      <c r="I136" s="31" t="inlineStr">
        <is>
          <t>GRID_TIED</t>
        </is>
      </c>
    </row>
    <row r="137">
      <c r="A137" s="32" t="n">
        <v>134</v>
      </c>
      <c r="B137" s="32" t="inlineStr">
        <is>
          <t>Jan</t>
        </is>
      </c>
      <c r="C137" s="32" t="n">
        <v>6</v>
      </c>
      <c r="D137" s="32" t="n">
        <v>14</v>
      </c>
      <c r="E137" s="32" t="inlineStr">
        <is>
          <t>Mon</t>
        </is>
      </c>
      <c r="F137" s="32" t="inlineStr">
        <is>
          <t>NO</t>
        </is>
      </c>
      <c r="G137" s="32" t="n">
        <v>8.2582</v>
      </c>
      <c r="H137" s="32" t="n">
        <v>8.2582</v>
      </c>
      <c r="I137" s="32" t="inlineStr">
        <is>
          <t>GRID_TIED</t>
        </is>
      </c>
    </row>
    <row r="138">
      <c r="A138" s="31" t="n">
        <v>135</v>
      </c>
      <c r="B138" s="31" t="inlineStr">
        <is>
          <t>Jan</t>
        </is>
      </c>
      <c r="C138" s="31" t="n">
        <v>6</v>
      </c>
      <c r="D138" s="31" t="n">
        <v>15</v>
      </c>
      <c r="E138" s="31" t="inlineStr">
        <is>
          <t>Mon</t>
        </is>
      </c>
      <c r="F138" s="31" t="inlineStr">
        <is>
          <t>NO</t>
        </is>
      </c>
      <c r="G138" s="31" t="n">
        <v>8.111000000000001</v>
      </c>
      <c r="H138" s="31" t="n">
        <v>8.111000000000001</v>
      </c>
      <c r="I138" s="31" t="inlineStr">
        <is>
          <t>GRID_TIED</t>
        </is>
      </c>
    </row>
    <row r="139">
      <c r="A139" s="32" t="n">
        <v>136</v>
      </c>
      <c r="B139" s="32" t="inlineStr">
        <is>
          <t>Jan</t>
        </is>
      </c>
      <c r="C139" s="32" t="n">
        <v>6</v>
      </c>
      <c r="D139" s="32" t="n">
        <v>16</v>
      </c>
      <c r="E139" s="32" t="inlineStr">
        <is>
          <t>Mon</t>
        </is>
      </c>
      <c r="F139" s="32" t="inlineStr">
        <is>
          <t>NO</t>
        </is>
      </c>
      <c r="G139" s="32" t="n">
        <v>8.111000000000001</v>
      </c>
      <c r="H139" s="32" t="n">
        <v>8.111000000000001</v>
      </c>
      <c r="I139" s="32" t="inlineStr">
        <is>
          <t>GRID_TIED</t>
        </is>
      </c>
    </row>
    <row r="140">
      <c r="A140" s="31" t="n">
        <v>137</v>
      </c>
      <c r="B140" s="31" t="inlineStr">
        <is>
          <t>Jan</t>
        </is>
      </c>
      <c r="C140" s="31" t="n">
        <v>6</v>
      </c>
      <c r="D140" s="31" t="n">
        <v>17</v>
      </c>
      <c r="E140" s="31" t="inlineStr">
        <is>
          <t>Mon</t>
        </is>
      </c>
      <c r="F140" s="31" t="inlineStr">
        <is>
          <t>NO</t>
        </is>
      </c>
      <c r="G140" s="31" t="n">
        <v>7.9823</v>
      </c>
      <c r="H140" s="31" t="n">
        <v>7.9823</v>
      </c>
      <c r="I140" s="31" t="inlineStr">
        <is>
          <t>GRID_TIED</t>
        </is>
      </c>
    </row>
    <row r="141">
      <c r="A141" s="32" t="n">
        <v>138</v>
      </c>
      <c r="B141" s="32" t="inlineStr">
        <is>
          <t>Jan</t>
        </is>
      </c>
      <c r="C141" s="32" t="n">
        <v>6</v>
      </c>
      <c r="D141" s="32" t="n">
        <v>18</v>
      </c>
      <c r="E141" s="32" t="inlineStr">
        <is>
          <t>Mon</t>
        </is>
      </c>
      <c r="F141" s="32" t="inlineStr">
        <is>
          <t>NO</t>
        </is>
      </c>
      <c r="G141" s="32" t="n">
        <v>7.9823</v>
      </c>
      <c r="H141" s="32" t="n">
        <v>7.9823</v>
      </c>
      <c r="I141" s="32" t="inlineStr">
        <is>
          <t>GRID_TIED</t>
        </is>
      </c>
    </row>
    <row r="142">
      <c r="A142" s="31" t="n">
        <v>139</v>
      </c>
      <c r="B142" s="31" t="inlineStr">
        <is>
          <t>Jan</t>
        </is>
      </c>
      <c r="C142" s="31" t="n">
        <v>6</v>
      </c>
      <c r="D142" s="31" t="n">
        <v>19</v>
      </c>
      <c r="E142" s="31" t="inlineStr">
        <is>
          <t>Mon</t>
        </is>
      </c>
      <c r="F142" s="31" t="inlineStr">
        <is>
          <t>NO</t>
        </is>
      </c>
      <c r="G142" s="31" t="n">
        <v>7.8351</v>
      </c>
      <c r="H142" s="31" t="n">
        <v>7.8351</v>
      </c>
      <c r="I142" s="31" t="inlineStr">
        <is>
          <t>IDLE</t>
        </is>
      </c>
    </row>
    <row r="143">
      <c r="A143" s="32" t="n">
        <v>140</v>
      </c>
      <c r="B143" s="32" t="inlineStr">
        <is>
          <t>Jan</t>
        </is>
      </c>
      <c r="C143" s="32" t="n">
        <v>6</v>
      </c>
      <c r="D143" s="32" t="n">
        <v>20</v>
      </c>
      <c r="E143" s="32" t="inlineStr">
        <is>
          <t>Mon</t>
        </is>
      </c>
      <c r="F143" s="32" t="inlineStr">
        <is>
          <t>NO</t>
        </is>
      </c>
      <c r="G143" s="32" t="n">
        <v>7.7064</v>
      </c>
      <c r="H143" s="32" t="n">
        <v>7.7064</v>
      </c>
      <c r="I143" s="32" t="inlineStr">
        <is>
          <t>IDLE</t>
        </is>
      </c>
    </row>
    <row r="144">
      <c r="A144" s="31" t="n">
        <v>141</v>
      </c>
      <c r="B144" s="31" t="inlineStr">
        <is>
          <t>Jan</t>
        </is>
      </c>
      <c r="C144" s="31" t="n">
        <v>6</v>
      </c>
      <c r="D144" s="31" t="n">
        <v>21</v>
      </c>
      <c r="E144" s="31" t="inlineStr">
        <is>
          <t>Mon</t>
        </is>
      </c>
      <c r="F144" s="31" t="inlineStr">
        <is>
          <t>NO</t>
        </is>
      </c>
      <c r="G144" s="31" t="n">
        <v>7.5592</v>
      </c>
      <c r="H144" s="31" t="n">
        <v>7.5592</v>
      </c>
      <c r="I144" s="31" t="inlineStr">
        <is>
          <t>IDLE</t>
        </is>
      </c>
    </row>
    <row r="145">
      <c r="A145" s="32" t="n">
        <v>142</v>
      </c>
      <c r="B145" s="32" t="inlineStr">
        <is>
          <t>Jan</t>
        </is>
      </c>
      <c r="C145" s="32" t="n">
        <v>6</v>
      </c>
      <c r="D145" s="32" t="n">
        <v>22</v>
      </c>
      <c r="E145" s="32" t="inlineStr">
        <is>
          <t>Mon</t>
        </is>
      </c>
      <c r="F145" s="32" t="inlineStr">
        <is>
          <t>NO</t>
        </is>
      </c>
      <c r="G145" s="32" t="n">
        <v>7.2834</v>
      </c>
      <c r="H145" s="32" t="n">
        <v>7.2834</v>
      </c>
      <c r="I145" s="32" t="inlineStr">
        <is>
          <t>IDLE</t>
        </is>
      </c>
    </row>
    <row r="146">
      <c r="A146" s="31" t="n">
        <v>143</v>
      </c>
      <c r="B146" s="31" t="inlineStr">
        <is>
          <t>Jan</t>
        </is>
      </c>
      <c r="C146" s="31" t="n">
        <v>6</v>
      </c>
      <c r="D146" s="31" t="n">
        <v>23</v>
      </c>
      <c r="E146" s="31" t="inlineStr">
        <is>
          <t>Mon</t>
        </is>
      </c>
      <c r="F146" s="31" t="inlineStr">
        <is>
          <t>NO</t>
        </is>
      </c>
      <c r="G146" s="31" t="n">
        <v>7.1362</v>
      </c>
      <c r="H146" s="31" t="n">
        <v>7.1362</v>
      </c>
      <c r="I146" s="31" t="inlineStr">
        <is>
          <t>IDLE</t>
        </is>
      </c>
    </row>
    <row r="147">
      <c r="A147" s="32" t="n">
        <v>144</v>
      </c>
      <c r="B147" s="32" t="inlineStr">
        <is>
          <t>Jan</t>
        </is>
      </c>
      <c r="C147" s="32" t="n">
        <v>6</v>
      </c>
      <c r="D147" s="32" t="n">
        <v>24</v>
      </c>
      <c r="E147" s="32" t="inlineStr">
        <is>
          <t>Mon</t>
        </is>
      </c>
      <c r="F147" s="32" t="inlineStr">
        <is>
          <t>NO</t>
        </is>
      </c>
      <c r="G147" s="32" t="n">
        <v>7.0075</v>
      </c>
      <c r="H147" s="32" t="n">
        <v>7.0075</v>
      </c>
      <c r="I147" s="32" t="inlineStr">
        <is>
          <t>IDLE</t>
        </is>
      </c>
    </row>
    <row r="148">
      <c r="A148" s="31" t="n">
        <v>145</v>
      </c>
      <c r="B148" s="31" t="inlineStr">
        <is>
          <t>Jan</t>
        </is>
      </c>
      <c r="C148" s="31" t="n">
        <v>7</v>
      </c>
      <c r="D148" s="31" t="n">
        <v>1</v>
      </c>
      <c r="E148" s="31" t="inlineStr">
        <is>
          <t>Tue</t>
        </is>
      </c>
      <c r="F148" s="31" t="inlineStr">
        <is>
          <t>NO</t>
        </is>
      </c>
      <c r="G148" s="31" t="n">
        <v>7.0075</v>
      </c>
      <c r="H148" s="31" t="n">
        <v>7.0075</v>
      </c>
      <c r="I148" s="31" t="inlineStr">
        <is>
          <t>IDLE</t>
        </is>
      </c>
    </row>
    <row r="149">
      <c r="A149" s="32" t="n">
        <v>146</v>
      </c>
      <c r="B149" s="32" t="inlineStr">
        <is>
          <t>Jan</t>
        </is>
      </c>
      <c r="C149" s="32" t="n">
        <v>7</v>
      </c>
      <c r="D149" s="32" t="n">
        <v>2</v>
      </c>
      <c r="E149" s="32" t="inlineStr">
        <is>
          <t>Tue</t>
        </is>
      </c>
      <c r="F149" s="32" t="inlineStr">
        <is>
          <t>NO</t>
        </is>
      </c>
      <c r="G149" s="32" t="n">
        <v>7.0075</v>
      </c>
      <c r="H149" s="32" t="n">
        <v>7.0075</v>
      </c>
      <c r="I149" s="32" t="inlineStr">
        <is>
          <t>IDLE</t>
        </is>
      </c>
    </row>
    <row r="150">
      <c r="A150" s="31" t="n">
        <v>147</v>
      </c>
      <c r="B150" s="31" t="inlineStr">
        <is>
          <t>Jan</t>
        </is>
      </c>
      <c r="C150" s="31" t="n">
        <v>7</v>
      </c>
      <c r="D150" s="31" t="n">
        <v>3</v>
      </c>
      <c r="E150" s="31" t="inlineStr">
        <is>
          <t>Tue</t>
        </is>
      </c>
      <c r="F150" s="31" t="inlineStr">
        <is>
          <t>NO</t>
        </is>
      </c>
      <c r="G150" s="31" t="n">
        <v>7.1362</v>
      </c>
      <c r="H150" s="31" t="n">
        <v>7.1362</v>
      </c>
      <c r="I150" s="31" t="inlineStr">
        <is>
          <t>IDLE</t>
        </is>
      </c>
    </row>
    <row r="151">
      <c r="A151" s="32" t="n">
        <v>148</v>
      </c>
      <c r="B151" s="32" t="inlineStr">
        <is>
          <t>Jan</t>
        </is>
      </c>
      <c r="C151" s="32" t="n">
        <v>7</v>
      </c>
      <c r="D151" s="32" t="n">
        <v>4</v>
      </c>
      <c r="E151" s="32" t="inlineStr">
        <is>
          <t>Tue</t>
        </is>
      </c>
      <c r="F151" s="32" t="inlineStr">
        <is>
          <t>NO</t>
        </is>
      </c>
      <c r="G151" s="32" t="n">
        <v>7.2834</v>
      </c>
      <c r="H151" s="32" t="n">
        <v>7.2834</v>
      </c>
      <c r="I151" s="32" t="inlineStr">
        <is>
          <t>IDLE</t>
        </is>
      </c>
    </row>
    <row r="152">
      <c r="A152" s="31" t="n">
        <v>149</v>
      </c>
      <c r="B152" s="31" t="inlineStr">
        <is>
          <t>Jan</t>
        </is>
      </c>
      <c r="C152" s="31" t="n">
        <v>7</v>
      </c>
      <c r="D152" s="31" t="n">
        <v>5</v>
      </c>
      <c r="E152" s="31" t="inlineStr">
        <is>
          <t>Tue</t>
        </is>
      </c>
      <c r="F152" s="31" t="inlineStr">
        <is>
          <t>NO</t>
        </is>
      </c>
      <c r="G152" s="31" t="n">
        <v>7.2834</v>
      </c>
      <c r="H152" s="31" t="n">
        <v>7.2834</v>
      </c>
      <c r="I152" s="31" t="inlineStr">
        <is>
          <t>IDLE</t>
        </is>
      </c>
    </row>
    <row r="153">
      <c r="A153" s="32" t="n">
        <v>150</v>
      </c>
      <c r="B153" s="32" t="inlineStr">
        <is>
          <t>Jan</t>
        </is>
      </c>
      <c r="C153" s="32" t="n">
        <v>7</v>
      </c>
      <c r="D153" s="32" t="n">
        <v>6</v>
      </c>
      <c r="E153" s="32" t="inlineStr">
        <is>
          <t>Tue</t>
        </is>
      </c>
      <c r="F153" s="32" t="inlineStr">
        <is>
          <t>NO</t>
        </is>
      </c>
      <c r="G153" s="32" t="n">
        <v>7.4121</v>
      </c>
      <c r="H153" s="32" t="n">
        <v>7.4121</v>
      </c>
      <c r="I153" s="32" t="inlineStr">
        <is>
          <t>IDLE</t>
        </is>
      </c>
    </row>
    <row r="154">
      <c r="A154" s="31" t="n">
        <v>151</v>
      </c>
      <c r="B154" s="31" t="inlineStr">
        <is>
          <t>Jan</t>
        </is>
      </c>
      <c r="C154" s="31" t="n">
        <v>7</v>
      </c>
      <c r="D154" s="31" t="n">
        <v>7</v>
      </c>
      <c r="E154" s="31" t="inlineStr">
        <is>
          <t>Tue</t>
        </is>
      </c>
      <c r="F154" s="31" t="inlineStr">
        <is>
          <t>NO</t>
        </is>
      </c>
      <c r="G154" s="31" t="n">
        <v>7.7064</v>
      </c>
      <c r="H154" s="31" t="n">
        <v>7.7064</v>
      </c>
      <c r="I154" s="31" t="inlineStr">
        <is>
          <t>IDLE</t>
        </is>
      </c>
    </row>
    <row r="155">
      <c r="A155" s="32" t="n">
        <v>152</v>
      </c>
      <c r="B155" s="32" t="inlineStr">
        <is>
          <t>Jan</t>
        </is>
      </c>
      <c r="C155" s="32" t="n">
        <v>7</v>
      </c>
      <c r="D155" s="32" t="n">
        <v>8</v>
      </c>
      <c r="E155" s="32" t="inlineStr">
        <is>
          <t>Tue</t>
        </is>
      </c>
      <c r="F155" s="32" t="inlineStr">
        <is>
          <t>NO</t>
        </is>
      </c>
      <c r="G155" s="32" t="n">
        <v>7.7064</v>
      </c>
      <c r="H155" s="32" t="n">
        <v>7.7064</v>
      </c>
      <c r="I155" s="32" t="inlineStr">
        <is>
          <t>GRID_TIED</t>
        </is>
      </c>
    </row>
    <row r="156">
      <c r="A156" s="31" t="n">
        <v>153</v>
      </c>
      <c r="B156" s="31" t="inlineStr">
        <is>
          <t>Jan</t>
        </is>
      </c>
      <c r="C156" s="31" t="n">
        <v>7</v>
      </c>
      <c r="D156" s="31" t="n">
        <v>9</v>
      </c>
      <c r="E156" s="31" t="inlineStr">
        <is>
          <t>Tue</t>
        </is>
      </c>
      <c r="F156" s="31" t="inlineStr">
        <is>
          <t>NO</t>
        </is>
      </c>
      <c r="G156" s="31" t="n">
        <v>7.9823</v>
      </c>
      <c r="H156" s="31" t="n">
        <v>7.9823</v>
      </c>
      <c r="I156" s="31" t="inlineStr">
        <is>
          <t>GRID_TIED</t>
        </is>
      </c>
    </row>
    <row r="157">
      <c r="A157" s="32" t="n">
        <v>154</v>
      </c>
      <c r="B157" s="32" t="inlineStr">
        <is>
          <t>Jan</t>
        </is>
      </c>
      <c r="C157" s="32" t="n">
        <v>7</v>
      </c>
      <c r="D157" s="32" t="n">
        <v>10</v>
      </c>
      <c r="E157" s="32" t="inlineStr">
        <is>
          <t>Tue</t>
        </is>
      </c>
      <c r="F157" s="32" t="inlineStr">
        <is>
          <t>NO</t>
        </is>
      </c>
      <c r="G157" s="32" t="n">
        <v>7.9823</v>
      </c>
      <c r="H157" s="32" t="n">
        <v>7.9823</v>
      </c>
      <c r="I157" s="32" t="inlineStr">
        <is>
          <t>GRID_TIED</t>
        </is>
      </c>
    </row>
    <row r="158">
      <c r="A158" s="31" t="n">
        <v>155</v>
      </c>
      <c r="B158" s="31" t="inlineStr">
        <is>
          <t>Jan</t>
        </is>
      </c>
      <c r="C158" s="31" t="n">
        <v>7</v>
      </c>
      <c r="D158" s="31" t="n">
        <v>11</v>
      </c>
      <c r="E158" s="31" t="inlineStr">
        <is>
          <t>Tue</t>
        </is>
      </c>
      <c r="F158" s="31" t="inlineStr">
        <is>
          <t>NO</t>
        </is>
      </c>
      <c r="G158" s="31" t="n">
        <v>8.111000000000001</v>
      </c>
      <c r="H158" s="31" t="n">
        <v>8.111000000000001</v>
      </c>
      <c r="I158" s="31" t="inlineStr">
        <is>
          <t>GRID_TIED</t>
        </is>
      </c>
    </row>
    <row r="159">
      <c r="A159" s="32" t="n">
        <v>156</v>
      </c>
      <c r="B159" s="32" t="inlineStr">
        <is>
          <t>Jan</t>
        </is>
      </c>
      <c r="C159" s="32" t="n">
        <v>7</v>
      </c>
      <c r="D159" s="32" t="n">
        <v>12</v>
      </c>
      <c r="E159" s="32" t="inlineStr">
        <is>
          <t>Tue</t>
        </is>
      </c>
      <c r="F159" s="32" t="inlineStr">
        <is>
          <t>NO</t>
        </is>
      </c>
      <c r="G159" s="32" t="n">
        <v>8.111000000000001</v>
      </c>
      <c r="H159" s="32" t="n">
        <v>8.111000000000001</v>
      </c>
      <c r="I159" s="32" t="inlineStr">
        <is>
          <t>GRID_TIED</t>
        </is>
      </c>
    </row>
    <row r="160">
      <c r="A160" s="31" t="n">
        <v>157</v>
      </c>
      <c r="B160" s="31" t="inlineStr">
        <is>
          <t>Jan</t>
        </is>
      </c>
      <c r="C160" s="31" t="n">
        <v>7</v>
      </c>
      <c r="D160" s="31" t="n">
        <v>13</v>
      </c>
      <c r="E160" s="31" t="inlineStr">
        <is>
          <t>Tue</t>
        </is>
      </c>
      <c r="F160" s="31" t="inlineStr">
        <is>
          <t>NO</t>
        </is>
      </c>
      <c r="G160" s="31" t="n">
        <v>8.2582</v>
      </c>
      <c r="H160" s="31" t="n">
        <v>8.2582</v>
      </c>
      <c r="I160" s="31" t="inlineStr">
        <is>
          <t>GRID_TIED</t>
        </is>
      </c>
    </row>
    <row r="161">
      <c r="A161" s="32" t="n">
        <v>158</v>
      </c>
      <c r="B161" s="32" t="inlineStr">
        <is>
          <t>Jan</t>
        </is>
      </c>
      <c r="C161" s="32" t="n">
        <v>7</v>
      </c>
      <c r="D161" s="32" t="n">
        <v>14</v>
      </c>
      <c r="E161" s="32" t="inlineStr">
        <is>
          <t>Tue</t>
        </is>
      </c>
      <c r="F161" s="32" t="inlineStr">
        <is>
          <t>NO</t>
        </is>
      </c>
      <c r="G161" s="32" t="n">
        <v>8.2582</v>
      </c>
      <c r="H161" s="32" t="n">
        <v>8.2582</v>
      </c>
      <c r="I161" s="32" t="inlineStr">
        <is>
          <t>GRID_TIED</t>
        </is>
      </c>
    </row>
    <row r="162">
      <c r="A162" s="31" t="n">
        <v>159</v>
      </c>
      <c r="B162" s="31" t="inlineStr">
        <is>
          <t>Jan</t>
        </is>
      </c>
      <c r="C162" s="31" t="n">
        <v>7</v>
      </c>
      <c r="D162" s="31" t="n">
        <v>15</v>
      </c>
      <c r="E162" s="31" t="inlineStr">
        <is>
          <t>Tue</t>
        </is>
      </c>
      <c r="F162" s="31" t="inlineStr">
        <is>
          <t>NO</t>
        </is>
      </c>
      <c r="G162" s="31" t="n">
        <v>8.111000000000001</v>
      </c>
      <c r="H162" s="31" t="n">
        <v>8.111000000000001</v>
      </c>
      <c r="I162" s="31" t="inlineStr">
        <is>
          <t>GRID_TIED</t>
        </is>
      </c>
    </row>
    <row r="163">
      <c r="A163" s="32" t="n">
        <v>160</v>
      </c>
      <c r="B163" s="32" t="inlineStr">
        <is>
          <t>Jan</t>
        </is>
      </c>
      <c r="C163" s="32" t="n">
        <v>7</v>
      </c>
      <c r="D163" s="32" t="n">
        <v>16</v>
      </c>
      <c r="E163" s="32" t="inlineStr">
        <is>
          <t>Tue</t>
        </is>
      </c>
      <c r="F163" s="32" t="inlineStr">
        <is>
          <t>NO</t>
        </is>
      </c>
      <c r="G163" s="32" t="n">
        <v>8.111000000000001</v>
      </c>
      <c r="H163" s="32" t="n">
        <v>8.111000000000001</v>
      </c>
      <c r="I163" s="32" t="inlineStr">
        <is>
          <t>GRID_TIED</t>
        </is>
      </c>
    </row>
    <row r="164">
      <c r="A164" s="31" t="n">
        <v>161</v>
      </c>
      <c r="B164" s="31" t="inlineStr">
        <is>
          <t>Jan</t>
        </is>
      </c>
      <c r="C164" s="31" t="n">
        <v>7</v>
      </c>
      <c r="D164" s="31" t="n">
        <v>17</v>
      </c>
      <c r="E164" s="31" t="inlineStr">
        <is>
          <t>Tue</t>
        </is>
      </c>
      <c r="F164" s="31" t="inlineStr">
        <is>
          <t>NO</t>
        </is>
      </c>
      <c r="G164" s="31" t="n">
        <v>7.9823</v>
      </c>
      <c r="H164" s="31" t="n">
        <v>7.9823</v>
      </c>
      <c r="I164" s="31" t="inlineStr">
        <is>
          <t>GRID_TIED</t>
        </is>
      </c>
    </row>
    <row r="165">
      <c r="A165" s="32" t="n">
        <v>162</v>
      </c>
      <c r="B165" s="32" t="inlineStr">
        <is>
          <t>Jan</t>
        </is>
      </c>
      <c r="C165" s="32" t="n">
        <v>7</v>
      </c>
      <c r="D165" s="32" t="n">
        <v>18</v>
      </c>
      <c r="E165" s="32" t="inlineStr">
        <is>
          <t>Tue</t>
        </is>
      </c>
      <c r="F165" s="32" t="inlineStr">
        <is>
          <t>NO</t>
        </is>
      </c>
      <c r="G165" s="32" t="n">
        <v>7.9823</v>
      </c>
      <c r="H165" s="32" t="n">
        <v>7.9823</v>
      </c>
      <c r="I165" s="32" t="inlineStr">
        <is>
          <t>GRID_TIED</t>
        </is>
      </c>
    </row>
    <row r="166">
      <c r="A166" s="31" t="n">
        <v>163</v>
      </c>
      <c r="B166" s="31" t="inlineStr">
        <is>
          <t>Jan</t>
        </is>
      </c>
      <c r="C166" s="31" t="n">
        <v>7</v>
      </c>
      <c r="D166" s="31" t="n">
        <v>19</v>
      </c>
      <c r="E166" s="31" t="inlineStr">
        <is>
          <t>Tue</t>
        </is>
      </c>
      <c r="F166" s="31" t="inlineStr">
        <is>
          <t>NO</t>
        </is>
      </c>
      <c r="G166" s="31" t="n">
        <v>7.8351</v>
      </c>
      <c r="H166" s="31" t="n">
        <v>7.8351</v>
      </c>
      <c r="I166" s="31" t="inlineStr">
        <is>
          <t>IDLE</t>
        </is>
      </c>
    </row>
    <row r="167">
      <c r="A167" s="32" t="n">
        <v>164</v>
      </c>
      <c r="B167" s="32" t="inlineStr">
        <is>
          <t>Jan</t>
        </is>
      </c>
      <c r="C167" s="32" t="n">
        <v>7</v>
      </c>
      <c r="D167" s="32" t="n">
        <v>20</v>
      </c>
      <c r="E167" s="32" t="inlineStr">
        <is>
          <t>Tue</t>
        </is>
      </c>
      <c r="F167" s="32" t="inlineStr">
        <is>
          <t>NO</t>
        </is>
      </c>
      <c r="G167" s="32" t="n">
        <v>7.7064</v>
      </c>
      <c r="H167" s="32" t="n">
        <v>7.7064</v>
      </c>
      <c r="I167" s="32" t="inlineStr">
        <is>
          <t>IDLE</t>
        </is>
      </c>
    </row>
    <row r="168">
      <c r="A168" s="31" t="n">
        <v>165</v>
      </c>
      <c r="B168" s="31" t="inlineStr">
        <is>
          <t>Jan</t>
        </is>
      </c>
      <c r="C168" s="31" t="n">
        <v>7</v>
      </c>
      <c r="D168" s="31" t="n">
        <v>21</v>
      </c>
      <c r="E168" s="31" t="inlineStr">
        <is>
          <t>Tue</t>
        </is>
      </c>
      <c r="F168" s="31" t="inlineStr">
        <is>
          <t>NO</t>
        </is>
      </c>
      <c r="G168" s="31" t="n">
        <v>7.5592</v>
      </c>
      <c r="H168" s="31" t="n">
        <v>7.5592</v>
      </c>
      <c r="I168" s="31" t="inlineStr">
        <is>
          <t>IDLE</t>
        </is>
      </c>
    </row>
    <row r="169">
      <c r="A169" s="32" t="n">
        <v>166</v>
      </c>
      <c r="B169" s="32" t="inlineStr">
        <is>
          <t>Jan</t>
        </is>
      </c>
      <c r="C169" s="32" t="n">
        <v>7</v>
      </c>
      <c r="D169" s="32" t="n">
        <v>22</v>
      </c>
      <c r="E169" s="32" t="inlineStr">
        <is>
          <t>Tue</t>
        </is>
      </c>
      <c r="F169" s="32" t="inlineStr">
        <is>
          <t>NO</t>
        </is>
      </c>
      <c r="G169" s="32" t="n">
        <v>7.2834</v>
      </c>
      <c r="H169" s="32" t="n">
        <v>7.2834</v>
      </c>
      <c r="I169" s="32" t="inlineStr">
        <is>
          <t>IDLE</t>
        </is>
      </c>
    </row>
    <row r="170">
      <c r="A170" s="31" t="n">
        <v>167</v>
      </c>
      <c r="B170" s="31" t="inlineStr">
        <is>
          <t>Jan</t>
        </is>
      </c>
      <c r="C170" s="31" t="n">
        <v>7</v>
      </c>
      <c r="D170" s="31" t="n">
        <v>23</v>
      </c>
      <c r="E170" s="31" t="inlineStr">
        <is>
          <t>Tue</t>
        </is>
      </c>
      <c r="F170" s="31" t="inlineStr">
        <is>
          <t>NO</t>
        </is>
      </c>
      <c r="G170" s="31" t="n">
        <v>7.1362</v>
      </c>
      <c r="H170" s="31" t="n">
        <v>7.1362</v>
      </c>
      <c r="I170" s="31" t="inlineStr">
        <is>
          <t>IDLE</t>
        </is>
      </c>
    </row>
    <row r="171">
      <c r="A171" s="32" t="n">
        <v>168</v>
      </c>
      <c r="B171" s="32" t="inlineStr">
        <is>
          <t>Jan</t>
        </is>
      </c>
      <c r="C171" s="32" t="n">
        <v>7</v>
      </c>
      <c r="D171" s="32" t="n">
        <v>24</v>
      </c>
      <c r="E171" s="32" t="inlineStr">
        <is>
          <t>Tue</t>
        </is>
      </c>
      <c r="F171" s="32" t="inlineStr">
        <is>
          <t>NO</t>
        </is>
      </c>
      <c r="G171" s="32" t="n">
        <v>7.0075</v>
      </c>
      <c r="H171" s="32" t="n">
        <v>7.0075</v>
      </c>
      <c r="I171" s="32" t="inlineStr">
        <is>
          <t>IDLE</t>
        </is>
      </c>
    </row>
    <row r="174" ht="18" customHeight="1">
      <c r="A174" s="2" t="inlineStr">
        <is>
          <t>Annual Simulation Summary (full 8,760 hours)</t>
        </is>
      </c>
    </row>
    <row r="175">
      <c r="A175" s="34" t="inlineStr">
        <is>
          <t>Total hours</t>
        </is>
      </c>
      <c r="B175" s="35" t="inlineStr">
        <is>
          <t>8,760</t>
        </is>
      </c>
    </row>
    <row r="176">
      <c r="A176" s="36" t="inlineStr">
        <is>
          <t>Blackout hours</t>
        </is>
      </c>
      <c r="B176" s="37" t="inlineStr">
        <is>
          <t>416 (52 events × 8h)</t>
        </is>
      </c>
    </row>
    <row r="177">
      <c r="A177" s="34" t="inlineStr">
        <is>
          <t>Grid-tied hours</t>
        </is>
      </c>
      <c r="B177" s="35" t="inlineStr">
        <is>
          <t>3355</t>
        </is>
      </c>
    </row>
    <row r="178">
      <c r="A178" s="36" t="inlineStr">
        <is>
          <t>Charging hours</t>
        </is>
      </c>
      <c r="B178" s="37" t="inlineStr">
        <is>
          <t>1048</t>
        </is>
      </c>
    </row>
    <row r="179">
      <c r="A179" s="34" t="inlineStr">
        <is>
          <t>Idle hours</t>
        </is>
      </c>
      <c r="B179" s="35" t="inlineStr">
        <is>
          <t>3941</t>
        </is>
      </c>
    </row>
    <row r="180">
      <c r="A180" s="36" t="inlineStr">
        <is>
          <t>Annual GT AC yield</t>
        </is>
      </c>
      <c r="B180" s="37" t="inlineStr">
        <is>
          <t>10380.1 kWh</t>
        </is>
      </c>
    </row>
    <row r="181">
      <c r="A181" s="34" t="inlineStr">
        <is>
          <t>Annual backup delivered</t>
        </is>
      </c>
      <c r="B181" s="35" t="inlineStr">
        <is>
          <t>2496.0 kWh</t>
        </is>
      </c>
    </row>
    <row r="182">
      <c r="A182" s="36" t="inlineStr">
        <is>
          <t>Min SoC during blackouts</t>
        </is>
      </c>
      <c r="B182" s="37" t="inlineStr">
        <is>
          <t>30.89%</t>
        </is>
      </c>
    </row>
    <row r="183">
      <c r="A183" s="34" t="inlineStr">
        <is>
          <t>Final SoC end of Representative Year 1</t>
        </is>
      </c>
      <c r="B183" s="35" t="inlineStr">
        <is>
          <t>95.00%</t>
        </is>
      </c>
    </row>
  </sheetData>
  <mergeCells count="12">
    <mergeCell ref="B175:I175"/>
    <mergeCell ref="B183:I183"/>
    <mergeCell ref="A174:I174"/>
    <mergeCell ref="A2:I2"/>
    <mergeCell ref="B176:I176"/>
    <mergeCell ref="B177:I177"/>
    <mergeCell ref="B182:I182"/>
    <mergeCell ref="B178:I178"/>
    <mergeCell ref="A1:I1"/>
    <mergeCell ref="B181:I181"/>
    <mergeCell ref="B180:I180"/>
    <mergeCell ref="B179:I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2026-06-03T20:19:13Z</dcterms:created>
  <dcterms:modified xmlns:dcterms="http://purl.org/dc/terms/" xmlns:xsi="http://www.w3.org/2001/XMLSchema-instance" xsi:type="dcterms:W3CDTF">2026-06-03T20:19:14Z</dcterms:modified>
</cp:coreProperties>
</file>